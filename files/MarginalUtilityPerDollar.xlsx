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Workspace\_Playground\Micro Tutoring\"/>
    </mc:Choice>
  </mc:AlternateContent>
  <xr:revisionPtr revIDLastSave="0" documentId="13_ncr:1_{DD192AAF-02B6-459C-9CDF-279B2BDF24FC}" xr6:coauthVersionLast="47" xr6:coauthVersionMax="47" xr10:uidLastSave="{00000000-0000-0000-0000-000000000000}"/>
  <bookViews>
    <workbookView xWindow="-110" yWindow="-110" windowWidth="19420" windowHeight="11500" activeTab="1" xr2:uid="{D34560B7-935C-47BD-B0AD-F4560D19673F}"/>
  </bookViews>
  <sheets>
    <sheet name="Input" sheetId="4" r:id="rId1"/>
    <sheet name="Quiz" sheetId="2" r:id="rId2"/>
    <sheet name="Printout" sheetId="3" r:id="rId3"/>
    <sheet name="Calculations" sheetId="1" r:id="rId4"/>
  </sheets>
  <definedNames>
    <definedName name="_xlnm.Print_Area" localSheetId="2">Printout!$A$1:$M$44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7" i="4" l="1"/>
  <c r="B16" i="4"/>
  <c r="B14" i="1"/>
  <c r="B13" i="1"/>
  <c r="B13" i="4"/>
  <c r="B12" i="4"/>
  <c r="C26" i="3"/>
  <c r="C3" i="3"/>
  <c r="C5" i="2"/>
  <c r="F24" i="3"/>
  <c r="F1" i="3"/>
  <c r="B19" i="4"/>
  <c r="B18" i="4"/>
  <c r="B9" i="4"/>
  <c r="B8" i="4"/>
  <c r="AX3" i="1"/>
  <c r="AN3" i="1"/>
  <c r="K14" i="1"/>
  <c r="J14" i="1"/>
  <c r="I14" i="1"/>
  <c r="H14" i="1"/>
  <c r="G14" i="1"/>
  <c r="F14" i="1"/>
  <c r="E14" i="1"/>
  <c r="D14" i="1"/>
  <c r="C14" i="1"/>
  <c r="K13" i="1"/>
  <c r="J13" i="1"/>
  <c r="I13" i="1"/>
  <c r="H13" i="1"/>
  <c r="G13" i="1"/>
  <c r="F13" i="1"/>
  <c r="E13" i="1"/>
  <c r="D13" i="1"/>
  <c r="C13" i="1"/>
  <c r="C10" i="1"/>
  <c r="C9" i="1"/>
  <c r="C6" i="1"/>
  <c r="H4" i="1"/>
  <c r="B18" i="3" s="1"/>
  <c r="C4" i="1"/>
  <c r="B17" i="3" s="1"/>
  <c r="C3" i="1"/>
  <c r="O4" i="1"/>
  <c r="V8" i="2" l="1"/>
  <c r="B10" i="1"/>
  <c r="BB3" i="1"/>
  <c r="BD3" i="1"/>
  <c r="W8" i="2"/>
  <c r="AY3" i="1"/>
  <c r="AZ3" i="1"/>
  <c r="BA3" i="1"/>
  <c r="T20" i="2"/>
  <c r="BC3" i="1"/>
  <c r="BE3" i="1"/>
  <c r="BF3" i="1"/>
  <c r="AS3" i="1"/>
  <c r="U8" i="2"/>
  <c r="Q2" i="1"/>
  <c r="AW3" i="1"/>
  <c r="R2" i="1"/>
  <c r="S2" i="1"/>
  <c r="Z2" i="1"/>
  <c r="AM3" i="1"/>
  <c r="B9" i="1"/>
  <c r="B40" i="3"/>
  <c r="AO3" i="1"/>
  <c r="AP3" i="1"/>
  <c r="AQ3" i="1"/>
  <c r="T8" i="2"/>
  <c r="AR3" i="1"/>
  <c r="AT3" i="1"/>
  <c r="AU3" i="1"/>
  <c r="T19" i="2"/>
  <c r="AV3" i="1"/>
  <c r="D4" i="1" a="1"/>
  <c r="D4" i="1" s="1"/>
  <c r="T6" i="1" s="1" a="1"/>
  <c r="T6" i="1" s="1"/>
  <c r="I4" i="1" a="1"/>
  <c r="I4" i="1" s="1"/>
  <c r="M7" i="1"/>
  <c r="B41" i="3"/>
  <c r="U2" i="1"/>
  <c r="V2" i="1"/>
  <c r="M3" i="1"/>
  <c r="W2" i="1"/>
  <c r="B20" i="2"/>
  <c r="X2" i="1"/>
  <c r="T2" i="1"/>
  <c r="M2" i="1"/>
  <c r="B19" i="2"/>
  <c r="M6" i="1"/>
  <c r="X9" i="1" l="1" a="1"/>
  <c r="X9" i="1" s="1"/>
  <c r="L36" i="3" s="1"/>
  <c r="X8" i="1" a="1"/>
  <c r="X8" i="1" s="1"/>
  <c r="X5" i="1" a="1"/>
  <c r="X5" i="1" s="1"/>
  <c r="X6" i="1" a="1"/>
  <c r="X6" i="1" s="1"/>
  <c r="X4" i="1" a="1"/>
  <c r="X4" i="1" s="1"/>
  <c r="L31" i="3" s="1"/>
  <c r="X3" i="1" a="1"/>
  <c r="X3" i="1" s="1"/>
  <c r="T8" i="1" a="1"/>
  <c r="T8" i="1" s="1"/>
  <c r="G35" i="3" s="1"/>
  <c r="T7" i="1" a="1"/>
  <c r="T7" i="1" s="1"/>
  <c r="G34" i="3" s="1"/>
  <c r="X7" i="1" a="1"/>
  <c r="X7" i="1" s="1"/>
  <c r="T9" i="1" a="1"/>
  <c r="T9" i="1" s="1"/>
  <c r="G36" i="3" s="1"/>
  <c r="T5" i="1" a="1"/>
  <c r="T5" i="1" s="1"/>
  <c r="T11" i="1" a="1"/>
  <c r="T11" i="1" s="1"/>
  <c r="U17" i="2" s="1"/>
  <c r="T4" i="1" a="1"/>
  <c r="T4" i="1" s="1"/>
  <c r="G31" i="3" s="1"/>
  <c r="T3" i="1" a="1"/>
  <c r="T3" i="1" s="1"/>
  <c r="T10" i="1" a="1"/>
  <c r="T10" i="1" s="1"/>
  <c r="G37" i="3" s="1"/>
  <c r="X10" i="1" a="1"/>
  <c r="X10" i="1" s="1"/>
  <c r="W16" i="2" s="1"/>
  <c r="X11" i="1" a="1"/>
  <c r="X11" i="1" s="1"/>
  <c r="L38" i="3" s="1"/>
  <c r="C17" i="4"/>
  <c r="W11" i="2"/>
  <c r="U12" i="2"/>
  <c r="C16" i="4"/>
  <c r="O3" i="1"/>
  <c r="I7" i="2"/>
  <c r="O2" i="1"/>
  <c r="D5" i="3"/>
  <c r="D7" i="2"/>
  <c r="D28" i="3"/>
  <c r="I28" i="3"/>
  <c r="I5" i="3"/>
  <c r="U15" i="2" l="1"/>
  <c r="W8" i="1"/>
  <c r="K35" i="3" s="1"/>
  <c r="S6" i="1"/>
  <c r="F33" i="3" s="1"/>
  <c r="U13" i="2"/>
  <c r="W7" i="1"/>
  <c r="K34" i="3" s="1"/>
  <c r="U10" i="2"/>
  <c r="W6" i="1"/>
  <c r="V12" i="2" s="1"/>
  <c r="W3" i="1"/>
  <c r="V3" i="1" s="1"/>
  <c r="W4" i="1"/>
  <c r="V10" i="2" s="1"/>
  <c r="G38" i="3"/>
  <c r="U14" i="2"/>
  <c r="W10" i="2"/>
  <c r="W10" i="1"/>
  <c r="V16" i="2" s="1"/>
  <c r="L32" i="3"/>
  <c r="W11" i="1"/>
  <c r="V17" i="2" s="1"/>
  <c r="L35" i="3"/>
  <c r="W14" i="2"/>
  <c r="W17" i="2"/>
  <c r="L37" i="3"/>
  <c r="U16" i="2"/>
  <c r="G33" i="3"/>
  <c r="W15" i="2"/>
  <c r="W9" i="2"/>
  <c r="L30" i="3"/>
  <c r="W9" i="1"/>
  <c r="K36" i="3" s="1"/>
  <c r="G30" i="3"/>
  <c r="U9" i="2"/>
  <c r="U11" i="2"/>
  <c r="G32" i="3"/>
  <c r="L33" i="3"/>
  <c r="W12" i="2"/>
  <c r="W13" i="2"/>
  <c r="L34" i="3"/>
  <c r="W5" i="1"/>
  <c r="K32" i="3" s="1"/>
  <c r="AA4" i="1"/>
  <c r="S8" i="1"/>
  <c r="F35" i="3" s="1"/>
  <c r="S3" i="1"/>
  <c r="F30" i="3" s="1"/>
  <c r="S10" i="1"/>
  <c r="F37" i="3" s="1"/>
  <c r="S11" i="1"/>
  <c r="T17" i="2" s="1"/>
  <c r="S5" i="1"/>
  <c r="T11" i="2" s="1"/>
  <c r="S7" i="1"/>
  <c r="F34" i="3" s="1"/>
  <c r="S9" i="1"/>
  <c r="F36" i="3" s="1"/>
  <c r="S4" i="1"/>
  <c r="F31" i="3" s="1"/>
  <c r="T12" i="2" l="1"/>
  <c r="V14" i="2"/>
  <c r="V13" i="2"/>
  <c r="V9" i="2"/>
  <c r="K30" i="3"/>
  <c r="K33" i="3"/>
  <c r="K31" i="3"/>
  <c r="T14" i="2"/>
  <c r="V11" i="2"/>
  <c r="T13" i="2"/>
  <c r="V15" i="2"/>
  <c r="K38" i="3"/>
  <c r="K37" i="3"/>
  <c r="T15" i="2"/>
  <c r="F32" i="3"/>
  <c r="R3" i="1"/>
  <c r="E30" i="3" s="1"/>
  <c r="T9" i="2"/>
  <c r="T16" i="2"/>
  <c r="F38" i="3"/>
  <c r="T10" i="2"/>
  <c r="J9" i="2"/>
  <c r="J7" i="3"/>
  <c r="J30" i="3"/>
  <c r="AB4" i="1"/>
  <c r="V4" i="1"/>
  <c r="AA5" i="1" l="1"/>
  <c r="R4" i="1"/>
  <c r="R5" i="1" s="1"/>
  <c r="R6" i="1" s="1"/>
  <c r="AB8" i="1" s="1"/>
  <c r="AB5" i="1"/>
  <c r="E7" i="3"/>
  <c r="E9" i="2"/>
  <c r="AC5" i="1"/>
  <c r="AC4" i="1"/>
  <c r="J8" i="3"/>
  <c r="J31" i="3"/>
  <c r="J10" i="2"/>
  <c r="V5" i="1"/>
  <c r="E10" i="3" l="1"/>
  <c r="AC8" i="1"/>
  <c r="E12" i="2"/>
  <c r="E31" i="3"/>
  <c r="AD8" i="1"/>
  <c r="E32" i="3"/>
  <c r="E8" i="3"/>
  <c r="E11" i="2"/>
  <c r="AA7" i="1"/>
  <c r="AB7" i="1"/>
  <c r="AC7" i="1"/>
  <c r="AA8" i="1"/>
  <c r="AC6" i="1"/>
  <c r="E10" i="2"/>
  <c r="E33" i="3"/>
  <c r="AB6" i="1"/>
  <c r="R7" i="1"/>
  <c r="E13" i="2" s="1"/>
  <c r="AA6" i="1"/>
  <c r="E9" i="3"/>
  <c r="AD6" i="1"/>
  <c r="AD7" i="1"/>
  <c r="AD5" i="1"/>
  <c r="AD4" i="1"/>
  <c r="J9" i="3"/>
  <c r="J32" i="3"/>
  <c r="J11" i="2"/>
  <c r="V6" i="1"/>
  <c r="AE9" i="1" s="1"/>
  <c r="AB9" i="1" l="1"/>
  <c r="AC9" i="1"/>
  <c r="AD9" i="1"/>
  <c r="E11" i="3"/>
  <c r="E34" i="3"/>
  <c r="R8" i="1"/>
  <c r="AA10" i="1" s="1"/>
  <c r="AA9" i="1"/>
  <c r="AE10" i="1"/>
  <c r="AE8" i="1"/>
  <c r="AE7" i="1"/>
  <c r="AE5" i="1"/>
  <c r="AE4" i="1"/>
  <c r="AE6" i="1"/>
  <c r="J10" i="3"/>
  <c r="J33" i="3"/>
  <c r="J12" i="2"/>
  <c r="V7" i="1"/>
  <c r="AC10" i="1" l="1"/>
  <c r="AD10" i="1"/>
  <c r="AB10" i="1"/>
  <c r="E35" i="3"/>
  <c r="E12" i="3"/>
  <c r="E14" i="2"/>
  <c r="R9" i="1"/>
  <c r="E13" i="3" s="1"/>
  <c r="AF12" i="1"/>
  <c r="AE12" i="1"/>
  <c r="AF8" i="1"/>
  <c r="AF6" i="1"/>
  <c r="AF7" i="1"/>
  <c r="AF9" i="1"/>
  <c r="AF10" i="1"/>
  <c r="AD11" i="1"/>
  <c r="AE11" i="1"/>
  <c r="AF11" i="1"/>
  <c r="AF5" i="1"/>
  <c r="AF4" i="1"/>
  <c r="V8" i="1"/>
  <c r="AG12" i="1" s="1"/>
  <c r="J11" i="3"/>
  <c r="J34" i="3"/>
  <c r="J13" i="2"/>
  <c r="AB11" i="1" l="1"/>
  <c r="AC11" i="1"/>
  <c r="AA11" i="1"/>
  <c r="E15" i="2"/>
  <c r="E36" i="3"/>
  <c r="R10" i="1"/>
  <c r="AB12" i="1" s="1"/>
  <c r="AD12" i="1"/>
  <c r="AG8" i="1"/>
  <c r="AG6" i="1"/>
  <c r="AG7" i="1"/>
  <c r="AG9" i="1"/>
  <c r="AG10" i="1"/>
  <c r="AE13" i="1"/>
  <c r="AF13" i="1"/>
  <c r="AG13" i="1"/>
  <c r="AD13" i="1"/>
  <c r="AG11" i="1"/>
  <c r="AG4" i="1"/>
  <c r="AG5" i="1"/>
  <c r="J12" i="3"/>
  <c r="J35" i="3"/>
  <c r="J14" i="2"/>
  <c r="V9" i="1"/>
  <c r="AC12" i="1" l="1"/>
  <c r="R11" i="1"/>
  <c r="E17" i="2" s="1"/>
  <c r="AA12" i="1"/>
  <c r="E16" i="2"/>
  <c r="E14" i="3"/>
  <c r="E37" i="3"/>
  <c r="AH4" i="1"/>
  <c r="AH7" i="1"/>
  <c r="AH8" i="1"/>
  <c r="AH9" i="1"/>
  <c r="AH5" i="1"/>
  <c r="AH6" i="1"/>
  <c r="AH10" i="1"/>
  <c r="AH11" i="1"/>
  <c r="AH12" i="1"/>
  <c r="AH13" i="1"/>
  <c r="J36" i="3"/>
  <c r="J15" i="2"/>
  <c r="J13" i="3"/>
  <c r="V10" i="1"/>
  <c r="E38" i="3" l="1"/>
  <c r="AB13" i="1"/>
  <c r="AA13" i="1"/>
  <c r="AC13" i="1"/>
  <c r="E15" i="3"/>
  <c r="AI8" i="1"/>
  <c r="AI7" i="1"/>
  <c r="AI9" i="1"/>
  <c r="AI5" i="1"/>
  <c r="AI10" i="1"/>
  <c r="AI4" i="1"/>
  <c r="AI6" i="1"/>
  <c r="AI11" i="1"/>
  <c r="AI12" i="1"/>
  <c r="AI13" i="1"/>
  <c r="J37" i="3"/>
  <c r="J16" i="2"/>
  <c r="J14" i="3"/>
  <c r="V11" i="1"/>
  <c r="AJ7" i="1" l="1"/>
  <c r="AJ8" i="1"/>
  <c r="AJ9" i="1"/>
  <c r="AJ10" i="1"/>
  <c r="AJ12" i="1"/>
  <c r="AJ11" i="1"/>
  <c r="AJ5" i="1"/>
  <c r="AJ4" i="1"/>
  <c r="AJ6" i="1"/>
  <c r="AJ13" i="1"/>
  <c r="J38" i="3"/>
  <c r="J17" i="2"/>
  <c r="J15" i="3"/>
  <c r="O6" i="1" l="1" a="1"/>
  <c r="O6" i="1" s="1"/>
  <c r="O7" i="1" a="1"/>
  <c r="O7" i="1" s="1"/>
  <c r="C19" i="4" s="1"/>
  <c r="C40" i="3" l="1"/>
  <c r="C18" i="4"/>
  <c r="U19" i="2"/>
  <c r="C41" i="3"/>
  <c r="U20" i="2"/>
  <c r="O9" i="1"/>
  <c r="O10" i="1"/>
  <c r="C20" i="4" s="1"/>
  <c r="U22" i="2" l="1"/>
  <c r="C43" i="3"/>
  <c r="C42" i="3"/>
  <c r="U2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Seth Roberts</author>
  </authors>
  <commentList>
    <comment ref="C5" authorId="0" shapeId="0" xr:uid="{7614B609-1D7F-4C21-B7D0-3E02C5A3D6F1}">
      <text>
        <r>
          <rPr>
            <b/>
            <sz val="9"/>
            <color indexed="81"/>
            <rFont val="Tahoma"/>
            <charset val="1"/>
          </rPr>
          <t>Set to 0 to use the Manual Problem below. Set to 1–20 to pick a random quiz from the pool.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Seth Roberts</author>
  </authors>
  <commentList>
    <comment ref="C6" authorId="0" shapeId="0" xr:uid="{4BCED79F-794E-4764-8543-2EFE567E97C7}">
      <text>
        <r>
          <rPr>
            <b/>
            <sz val="9"/>
            <color indexed="81"/>
            <rFont val="Tahoma"/>
            <charset val="1"/>
          </rPr>
          <t>Set to 0 to use the Manual Problem below. Set to 1–20 to pick a random problem from the pool.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<sst xmlns="http://schemas.openxmlformats.org/spreadsheetml/2006/main" count="64" uniqueCount="26">
  <si>
    <t>Budget</t>
  </si>
  <si>
    <t>Total Spend</t>
  </si>
  <si>
    <t>Total Utility</t>
  </si>
  <si>
    <t>Product 1</t>
  </si>
  <si>
    <t>Product 2</t>
  </si>
  <si>
    <t>Cost</t>
  </si>
  <si>
    <t>Quantity</t>
  </si>
  <si>
    <t>Total Budget</t>
  </si>
  <si>
    <t>Marginal Utility Per Dollar — Quiz</t>
  </si>
  <si>
    <t>Fill in the yellow cells. Green = correct, red = incorrect.</t>
  </si>
  <si>
    <t>Marginal Utility</t>
  </si>
  <si>
    <t>MU per $</t>
  </si>
  <si>
    <t>ANSWER KEY (do not edit)</t>
  </si>
  <si>
    <t>Marginal Utility Per Dollar — Worksheet</t>
  </si>
  <si>
    <t>Marginal Utility Per Dollar — Answer Key</t>
  </si>
  <si>
    <t>Reroll</t>
  </si>
  <si>
    <t>Problem Pool (hidden)</t>
  </si>
  <si>
    <t>Manual Problem (used when Reroll = 0)</t>
  </si>
  <si>
    <t>Active Problem</t>
  </si>
  <si>
    <t>Next: open the Quiz or Printout tab.</t>
  </si>
  <si>
    <t>Fish</t>
  </si>
  <si>
    <t>Coconuts</t>
  </si>
  <si>
    <t>Quiz #</t>
  </si>
  <si>
    <t>To do the next quiz return to the input page and select a new quiz</t>
  </si>
  <si>
    <t>Manual Problem (used when Quiz # = 0)</t>
  </si>
  <si>
    <t>Unprotect Sheets Password → 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</si>
</sst>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rgb="FF80808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4"/>
      <color theme="1"/>
      <name val="Aptos Narrow"/>
      <scheme val="minor"/>
    </font>
    <font>
      <i/>
      <sz val="11"/>
      <color rgb="FF666666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sz val="11"/>
      <color rgb="FF0000FF"/>
      <name val="Aptos Narrow"/>
      <scheme val="minor"/>
    </font>
    <font>
      <b/>
      <i/>
      <sz val="11"/>
      <color rgb="FF999999"/>
      <name val="Aptos Narrow"/>
      <scheme val="minor"/>
    </font>
    <font>
      <b/>
      <sz val="14"/>
      <color rgb="FFC00000"/>
      <name val="Aptos Narrow"/>
      <scheme val="minor"/>
    </font>
    <font>
      <sz val="11"/>
      <color rgb="FF000000"/>
      <name val="Aptos Narrow"/>
      <scheme val="minor"/>
    </font>
    <font>
      <b/>
      <sz val="9"/>
      <color indexed="81"/>
      <name val="Tahoma"/>
      <charset val="1"/>
    </font>
    <font>
      <b/>
      <i/>
      <sz val="11"/>
      <color rgb="FF666666"/>
      <name val="Aptos Narrow"/>
      <scheme val="minor"/>
    </font>
    <font>
      <b/>
      <sz val="11"/>
      <color rgb="FFC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64" fontId="0" fillId="0" borderId="0" xfId="0" applyNumberFormat="1"/>
    <xf numFmtId="0" fontId="2" fillId="0" borderId="0" xfId="0" applyFont="1" applyAlignment="1">
      <alignment wrapText="1"/>
    </xf>
    <xf numFmtId="0" fontId="3" fillId="0" borderId="0" xfId="0" applyFont="1"/>
    <xf numFmtId="0" fontId="0" fillId="0" borderId="1" xfId="0" applyBorder="1"/>
    <xf numFmtId="0" fontId="5" fillId="0" borderId="0" xfId="0" applyFont="1"/>
    <xf numFmtId="0" fontId="6" fillId="0" borderId="0" xfId="0" applyFont="1"/>
    <xf numFmtId="0" fontId="8" fillId="0" borderId="0" xfId="0" applyFont="1"/>
    <xf numFmtId="164" fontId="7" fillId="0" borderId="0" xfId="0" applyNumberFormat="1" applyFont="1"/>
    <xf numFmtId="0" fontId="9" fillId="0" borderId="0" xfId="0" applyFont="1" applyAlignment="1">
      <alignment horizontal="center"/>
    </xf>
    <xf numFmtId="0" fontId="8" fillId="3" borderId="0" xfId="0" applyFont="1" applyFill="1" applyAlignment="1">
      <alignment horizontal="center"/>
    </xf>
    <xf numFmtId="0" fontId="11" fillId="0" borderId="0" xfId="0" applyFont="1"/>
    <xf numFmtId="0" fontId="7" fillId="0" borderId="4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12" fillId="0" borderId="0" xfId="0" applyFont="1"/>
    <xf numFmtId="0" fontId="8" fillId="0" borderId="8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5" fillId="0" borderId="0" xfId="0" applyFont="1"/>
    <xf numFmtId="0" fontId="0" fillId="0" borderId="2" xfId="0" applyBorder="1"/>
    <xf numFmtId="0" fontId="8" fillId="0" borderId="5" xfId="0" applyFont="1" applyBorder="1"/>
    <xf numFmtId="0" fontId="0" fillId="0" borderId="6" xfId="0" applyBorder="1"/>
    <xf numFmtId="0" fontId="8" fillId="0" borderId="9" xfId="0" applyFont="1" applyBorder="1"/>
    <xf numFmtId="0" fontId="8" fillId="0" borderId="4" xfId="0" applyFont="1" applyBorder="1"/>
    <xf numFmtId="0" fontId="8" fillId="0" borderId="7" xfId="0" applyFont="1" applyBorder="1" applyAlignment="1">
      <alignment horizontal="center"/>
    </xf>
    <xf numFmtId="0" fontId="8" fillId="0" borderId="1" xfId="0" applyFont="1" applyBorder="1"/>
    <xf numFmtId="0" fontId="0" fillId="0" borderId="3" xfId="0" applyBorder="1"/>
    <xf numFmtId="0" fontId="0" fillId="0" borderId="7" xfId="0" applyBorder="1"/>
    <xf numFmtId="0" fontId="15" fillId="0" borderId="5" xfId="0" applyFont="1" applyBorder="1"/>
    <xf numFmtId="0" fontId="8" fillId="0" borderId="8" xfId="0" applyFont="1" applyBorder="1"/>
    <xf numFmtId="164" fontId="7" fillId="0" borderId="7" xfId="0" applyNumberFormat="1" applyFont="1" applyBorder="1" applyAlignment="1">
      <alignment horizontal="center"/>
    </xf>
    <xf numFmtId="0" fontId="1" fillId="0" borderId="4" xfId="0" applyFont="1" applyBorder="1"/>
    <xf numFmtId="2" fontId="0" fillId="0" borderId="1" xfId="0" applyNumberFormat="1" applyBorder="1"/>
    <xf numFmtId="2" fontId="7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10" fillId="2" borderId="1" xfId="0" applyFont="1" applyFill="1" applyBorder="1" applyAlignment="1" applyProtection="1">
      <alignment horizontal="center"/>
      <protection locked="0"/>
    </xf>
    <xf numFmtId="0" fontId="10" fillId="2" borderId="8" xfId="0" applyFont="1" applyFill="1" applyBorder="1" applyAlignment="1" applyProtection="1">
      <alignment horizontal="center"/>
      <protection locked="0"/>
    </xf>
    <xf numFmtId="164" fontId="10" fillId="2" borderId="8" xfId="0" applyNumberFormat="1" applyFont="1" applyFill="1" applyBorder="1" applyAlignment="1" applyProtection="1">
      <alignment horizontal="center"/>
      <protection locked="0"/>
    </xf>
    <xf numFmtId="0" fontId="4" fillId="0" borderId="0" xfId="1"/>
    <xf numFmtId="0" fontId="0" fillId="0" borderId="0" xfId="0" applyProtection="1">
      <protection locked="0"/>
    </xf>
    <xf numFmtId="164" fontId="10" fillId="2" borderId="6" xfId="0" applyNumberFormat="1" applyFont="1" applyFill="1" applyBorder="1" applyAlignment="1" applyProtection="1">
      <alignment horizontal="center"/>
      <protection locked="0"/>
    </xf>
    <xf numFmtId="0" fontId="10" fillId="2" borderId="7" xfId="0" applyFont="1" applyFill="1" applyBorder="1" applyAlignment="1" applyProtection="1">
      <alignment horizontal="center"/>
      <protection locked="0"/>
    </xf>
    <xf numFmtId="164" fontId="10" fillId="2" borderId="7" xfId="0" applyNumberFormat="1" applyFont="1" applyFill="1" applyBorder="1" applyAlignment="1" applyProtection="1">
      <alignment horizontal="center"/>
      <protection locked="0"/>
    </xf>
    <xf numFmtId="0" fontId="16" fillId="0" borderId="0" xfId="0" applyFont="1"/>
  </cellXfs>
  <cellStyles count="2">
    <cellStyle name="Explanatory Text" xfId="1" builtinId="53"/>
    <cellStyle name="Normal" xfId="0" builtinId="0"/>
  </cellStyles>
  <dxfs count="6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B60BF24-D707-4725-9707-BC0414F5797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189dd0a-0049-4fc4-a00a-227f41c5f3f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00692-7727-42DB-BD27-4440A464492A}">
  <dimension ref="A1:L21"/>
  <sheetViews>
    <sheetView showGridLines="0" zoomScale="104" zoomScaleNormal="55" workbookViewId="0">
      <selection activeCell="C5" sqref="C5"/>
    </sheetView>
  </sheetViews>
  <sheetFormatPr defaultColWidth="0" defaultRowHeight="14.5" zeroHeight="1" x14ac:dyDescent="0.35"/>
  <cols>
    <col min="1" max="1" width="1.81640625" customWidth="1"/>
    <col min="2" max="2" width="18.1796875" customWidth="1"/>
    <col min="3" max="3" width="10.90625" customWidth="1"/>
    <col min="4" max="7" width="8.1796875" customWidth="1"/>
    <col min="8" max="8" width="10.90625" customWidth="1"/>
    <col min="9" max="9" width="10" customWidth="1"/>
    <col min="10" max="11" width="8.1796875" customWidth="1"/>
    <col min="12" max="12" width="8.7265625" customWidth="1"/>
    <col min="13" max="16384" width="8.7265625" hidden="1"/>
  </cols>
  <sheetData>
    <row r="1" spans="2:11" x14ac:dyDescent="0.35"/>
    <row r="2" spans="2:11" x14ac:dyDescent="0.35">
      <c r="B2" s="26" t="s">
        <v>7</v>
      </c>
      <c r="C2" s="47">
        <v>15</v>
      </c>
    </row>
    <row r="3" spans="2:11" x14ac:dyDescent="0.35">
      <c r="B3" s="37" t="s">
        <v>3</v>
      </c>
      <c r="C3" s="48" t="s">
        <v>20</v>
      </c>
      <c r="G3" s="37" t="s">
        <v>4</v>
      </c>
      <c r="H3" s="48" t="s">
        <v>21</v>
      </c>
    </row>
    <row r="4" spans="2:11" x14ac:dyDescent="0.35"/>
    <row r="5" spans="2:11" x14ac:dyDescent="0.35">
      <c r="B5" s="29" t="s">
        <v>22</v>
      </c>
      <c r="C5" s="48">
        <v>1</v>
      </c>
    </row>
    <row r="6" spans="2:11" x14ac:dyDescent="0.35"/>
    <row r="7" spans="2:11" x14ac:dyDescent="0.35">
      <c r="B7" s="34" t="s">
        <v>24</v>
      </c>
      <c r="C7" s="25"/>
      <c r="D7" s="32"/>
      <c r="E7" s="32"/>
      <c r="F7" s="32"/>
      <c r="G7" s="32"/>
      <c r="H7" s="32"/>
      <c r="I7" s="32"/>
      <c r="J7" s="32"/>
      <c r="K7" s="33"/>
    </row>
    <row r="8" spans="2:11" x14ac:dyDescent="0.35">
      <c r="B8" s="26" t="str">
        <f>C3&amp;" Cost"</f>
        <v>Fish Cost</v>
      </c>
      <c r="C8" s="47">
        <v>3</v>
      </c>
    </row>
    <row r="9" spans="2:11" x14ac:dyDescent="0.35">
      <c r="B9" s="29" t="str">
        <f>H3&amp;" Cost"</f>
        <v>Coconuts Cost</v>
      </c>
      <c r="C9" s="49">
        <v>1</v>
      </c>
    </row>
    <row r="10" spans="2:11" x14ac:dyDescent="0.35"/>
    <row r="11" spans="2:11" x14ac:dyDescent="0.35">
      <c r="B11" s="35" t="s">
        <v>6</v>
      </c>
      <c r="C11" s="19">
        <v>1</v>
      </c>
      <c r="D11" s="19">
        <v>2</v>
      </c>
      <c r="E11" s="19">
        <v>3</v>
      </c>
      <c r="F11" s="19">
        <v>4</v>
      </c>
      <c r="G11" s="19">
        <v>5</v>
      </c>
      <c r="H11" s="19">
        <v>6</v>
      </c>
      <c r="I11" s="19">
        <v>7</v>
      </c>
      <c r="J11" s="19">
        <v>8</v>
      </c>
      <c r="K11" s="19">
        <v>9</v>
      </c>
    </row>
    <row r="12" spans="2:11" x14ac:dyDescent="0.35">
      <c r="B12" s="35" t="str">
        <f>C3&amp;" MU"</f>
        <v>Fish MU</v>
      </c>
      <c r="C12" s="43">
        <v>18</v>
      </c>
      <c r="D12" s="43">
        <v>15</v>
      </c>
      <c r="E12" s="43">
        <v>12</v>
      </c>
      <c r="F12" s="43">
        <v>9</v>
      </c>
      <c r="G12" s="43">
        <v>6</v>
      </c>
      <c r="H12" s="43">
        <v>3</v>
      </c>
      <c r="I12" s="43">
        <v>0</v>
      </c>
      <c r="J12" s="43">
        <v>0</v>
      </c>
      <c r="K12" s="43">
        <v>0</v>
      </c>
    </row>
    <row r="13" spans="2:11" x14ac:dyDescent="0.35">
      <c r="B13" s="31" t="str">
        <f>H3&amp;" MU"</f>
        <v>Coconuts MU</v>
      </c>
      <c r="C13" s="42">
        <v>10</v>
      </c>
      <c r="D13" s="42">
        <v>8</v>
      </c>
      <c r="E13" s="42">
        <v>6</v>
      </c>
      <c r="F13" s="42">
        <v>5</v>
      </c>
      <c r="G13" s="42">
        <v>4</v>
      </c>
      <c r="H13" s="42">
        <v>3</v>
      </c>
      <c r="I13" s="42">
        <v>2</v>
      </c>
      <c r="J13" s="42">
        <v>1</v>
      </c>
      <c r="K13" s="42">
        <v>0</v>
      </c>
    </row>
    <row r="14" spans="2:11" x14ac:dyDescent="0.35"/>
    <row r="15" spans="2:11" x14ac:dyDescent="0.35">
      <c r="B15" s="26" t="s">
        <v>18</v>
      </c>
      <c r="C15" s="27"/>
      <c r="E15" s="8" t="s">
        <v>19</v>
      </c>
    </row>
    <row r="16" spans="2:11" x14ac:dyDescent="0.35">
      <c r="B16" s="29" t="str">
        <f>"Active "&amp;C3&amp;" Cost"</f>
        <v>Active Fish Cost</v>
      </c>
      <c r="C16" s="36">
        <f>Calculations!D4</f>
        <v>5</v>
      </c>
    </row>
    <row r="17" spans="2:8" x14ac:dyDescent="0.35">
      <c r="B17" s="29" t="str">
        <f>"Active "&amp;H3&amp;" Cost"</f>
        <v>Active Coconuts Cost</v>
      </c>
      <c r="C17" s="36">
        <f>Calculations!I4</f>
        <v>3</v>
      </c>
      <c r="E17" s="45"/>
    </row>
    <row r="18" spans="2:8" x14ac:dyDescent="0.35">
      <c r="B18" s="29" t="str">
        <f>"Optimal "&amp;C3</f>
        <v>Optimal Fish</v>
      </c>
      <c r="C18" s="15">
        <f>Calculations!O6</f>
        <v>1</v>
      </c>
      <c r="H18" s="46"/>
    </row>
    <row r="19" spans="2:8" x14ac:dyDescent="0.35">
      <c r="B19" s="29" t="str">
        <f>"Optimal "&amp;H3</f>
        <v>Optimal Coconuts</v>
      </c>
      <c r="C19" s="15">
        <f>Calculations!O7</f>
        <v>3</v>
      </c>
    </row>
    <row r="20" spans="2:8" x14ac:dyDescent="0.35">
      <c r="B20" s="29" t="s">
        <v>2</v>
      </c>
      <c r="C20" s="30">
        <f>Calculations!O10</f>
        <v>40</v>
      </c>
    </row>
    <row r="21" spans="2:8" x14ac:dyDescent="0.35"/>
  </sheetData>
  <sheetProtection algorithmName="SHA-512" hashValue="nwoE7oZ5b89phskXYIc+8bnUViC+lBqD6YKUuc4JCWFo7BZJj5tQvW0CF6hxZ7SWv8dKnXZRxIyI1ZRxjEpSVg==" saltValue="zTJlaiMuMn2Vu79RQof5og==" spinCount="100000" sheet="1" objects="1" scenarios="1" selectLockedCells="1"/>
  <dataValidations disablePrompts="1" count="2">
    <dataValidation type="list" allowBlank="1" showInputMessage="1" showErrorMessage="1" sqref="C5" xr:uid="{669181B7-D2CE-43AA-AB81-B4CA011E9CE2}">
      <formula1>"0,1,2,3,4,5,6,7,8,9,10,11,12,13,14,15,16,17,18,19,20"</formula1>
    </dataValidation>
    <dataValidation type="custom" errorStyle="warning" allowBlank="1" showInputMessage="1" showErrorMessage="1" errorTitle="Diminishing MU/$ check" error="Marginal utility per dollar should diminish (each value ≤ the one to its left). Click Yes to keep this value anyway." sqref="D12:K13" xr:uid="{EE0582F2-20A8-4E67-B692-025B258774C5}">
      <formula1>C12&gt;=D12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C56D8-C93D-406B-8DBF-7706550F3393}">
  <dimension ref="A1:Y23"/>
  <sheetViews>
    <sheetView showGridLines="0" tabSelected="1" zoomScale="96" workbookViewId="0">
      <selection activeCell="F9" sqref="F9"/>
    </sheetView>
  </sheetViews>
  <sheetFormatPr defaultColWidth="0" defaultRowHeight="14.5" zeroHeight="1" outlineLevelCol="1" x14ac:dyDescent="0.35"/>
  <cols>
    <col min="1" max="1" width="1.81640625" customWidth="1"/>
    <col min="2" max="2" width="16.36328125" customWidth="1"/>
    <col min="3" max="3" width="13.6328125" customWidth="1"/>
    <col min="4" max="4" width="11.81640625" customWidth="1"/>
    <col min="5" max="5" width="13.6328125" customWidth="1"/>
    <col min="6" max="6" width="16.36328125" customWidth="1"/>
    <col min="7" max="7" width="12.7265625" customWidth="1"/>
    <col min="8" max="8" width="2.7265625" customWidth="1"/>
    <col min="9" max="9" width="11.81640625" customWidth="1"/>
    <col min="10" max="10" width="13.6328125" customWidth="1"/>
    <col min="11" max="11" width="16.36328125" customWidth="1"/>
    <col min="12" max="12" width="12.7265625" customWidth="1"/>
    <col min="13" max="13" width="8.7265625" customWidth="1"/>
    <col min="14" max="18" width="8.7265625" hidden="1" customWidth="1"/>
    <col min="19" max="24" width="0" hidden="1" customWidth="1" outlineLevel="1"/>
    <col min="25" max="25" width="0" hidden="1" customWidth="1" collapsed="1"/>
    <col min="26" max="16384" width="8.7265625" hidden="1"/>
  </cols>
  <sheetData>
    <row r="1" spans="2:23" ht="18.5" x14ac:dyDescent="0.45">
      <c r="B1" s="7" t="s">
        <v>8</v>
      </c>
    </row>
    <row r="2" spans="2:23" x14ac:dyDescent="0.35">
      <c r="B2" s="8" t="s">
        <v>9</v>
      </c>
    </row>
    <row r="3" spans="2:23" x14ac:dyDescent="0.35">
      <c r="B3" s="8" t="s">
        <v>23</v>
      </c>
    </row>
    <row r="4" spans="2:23" x14ac:dyDescent="0.35">
      <c r="B4" s="8"/>
    </row>
    <row r="5" spans="2:23" x14ac:dyDescent="0.35">
      <c r="B5" s="9" t="s">
        <v>7</v>
      </c>
      <c r="C5" s="10">
        <f>Calculations!C3</f>
        <v>15</v>
      </c>
    </row>
    <row r="6" spans="2:23" x14ac:dyDescent="0.35"/>
    <row r="7" spans="2:23" ht="16" x14ac:dyDescent="0.4">
      <c r="D7" s="11" t="str">
        <f>Calculations!C4&amp;" ($"&amp;Calculations!D4&amp;")"</f>
        <v>Fish ($5)</v>
      </c>
      <c r="E7" s="11"/>
      <c r="I7" s="11" t="str">
        <f>Calculations!H4&amp;" ($"&amp;Calculations!I4&amp;")"</f>
        <v>Coconuts ($3)</v>
      </c>
      <c r="J7" s="11"/>
      <c r="T7" s="13" t="s">
        <v>12</v>
      </c>
    </row>
    <row r="8" spans="2:23" x14ac:dyDescent="0.35">
      <c r="D8" s="12" t="s">
        <v>6</v>
      </c>
      <c r="E8" s="12" t="s">
        <v>2</v>
      </c>
      <c r="F8" s="12" t="s">
        <v>10</v>
      </c>
      <c r="G8" s="12" t="s">
        <v>11</v>
      </c>
      <c r="I8" s="12" t="s">
        <v>6</v>
      </c>
      <c r="J8" s="12" t="s">
        <v>2</v>
      </c>
      <c r="K8" s="12" t="s">
        <v>10</v>
      </c>
      <c r="L8" s="12" t="s">
        <v>11</v>
      </c>
      <c r="T8" s="9" t="str">
        <f>"MU "&amp;Calculations!C4</f>
        <v>MU Fish</v>
      </c>
      <c r="U8" s="9" t="str">
        <f>"MU/$ "&amp;Calculations!C4</f>
        <v>MU/$ Fish</v>
      </c>
      <c r="V8" s="9" t="str">
        <f>"MU "&amp;Calculations!H4</f>
        <v>MU Coconuts</v>
      </c>
      <c r="W8" s="9" t="str">
        <f>"MU/$ "&amp;Calculations!H4</f>
        <v>MU/$ Coconuts</v>
      </c>
    </row>
    <row r="9" spans="2:23" x14ac:dyDescent="0.35">
      <c r="D9" s="16">
        <v>1</v>
      </c>
      <c r="E9" s="23">
        <f>Calculations!R3</f>
        <v>13</v>
      </c>
      <c r="F9" s="42"/>
      <c r="G9" s="42"/>
      <c r="I9" s="16">
        <v>1</v>
      </c>
      <c r="J9" s="23">
        <f>Calculations!V3</f>
        <v>10</v>
      </c>
      <c r="K9" s="42"/>
      <c r="L9" s="42"/>
      <c r="T9">
        <f>Calculations!S3</f>
        <v>13</v>
      </c>
      <c r="U9">
        <f>Calculations!T3</f>
        <v>2.6</v>
      </c>
      <c r="V9">
        <f>Calculations!W3</f>
        <v>10</v>
      </c>
      <c r="W9">
        <f>Calculations!X3</f>
        <v>3.3333333333333335</v>
      </c>
    </row>
    <row r="10" spans="2:23" x14ac:dyDescent="0.35">
      <c r="D10" s="16">
        <v>2</v>
      </c>
      <c r="E10" s="23">
        <f>Calculations!R4</f>
        <v>24</v>
      </c>
      <c r="F10" s="42"/>
      <c r="G10" s="42"/>
      <c r="I10" s="16">
        <v>2</v>
      </c>
      <c r="J10" s="23">
        <f>Calculations!V4</f>
        <v>19</v>
      </c>
      <c r="K10" s="42"/>
      <c r="L10" s="42"/>
      <c r="T10">
        <f>Calculations!S4</f>
        <v>11</v>
      </c>
      <c r="U10">
        <f>Calculations!T4</f>
        <v>2.2000000000000002</v>
      </c>
      <c r="V10">
        <f>Calculations!W4</f>
        <v>9</v>
      </c>
      <c r="W10">
        <f>Calculations!X4</f>
        <v>3</v>
      </c>
    </row>
    <row r="11" spans="2:23" x14ac:dyDescent="0.35">
      <c r="D11" s="16">
        <v>3</v>
      </c>
      <c r="E11" s="23">
        <f>Calculations!R5</f>
        <v>32</v>
      </c>
      <c r="F11" s="42"/>
      <c r="G11" s="42"/>
      <c r="I11" s="16">
        <v>3</v>
      </c>
      <c r="J11" s="23">
        <f>Calculations!V5</f>
        <v>27</v>
      </c>
      <c r="K11" s="42"/>
      <c r="L11" s="42"/>
      <c r="T11">
        <f>Calculations!S5</f>
        <v>8</v>
      </c>
      <c r="U11">
        <f>Calculations!T5</f>
        <v>1.6</v>
      </c>
      <c r="V11">
        <f>Calculations!W5</f>
        <v>8</v>
      </c>
      <c r="W11">
        <f>Calculations!X5</f>
        <v>2.6666666666666665</v>
      </c>
    </row>
    <row r="12" spans="2:23" x14ac:dyDescent="0.35">
      <c r="D12" s="16">
        <v>4</v>
      </c>
      <c r="E12" s="23">
        <f>Calculations!R6</f>
        <v>39</v>
      </c>
      <c r="F12" s="42"/>
      <c r="G12" s="42"/>
      <c r="I12" s="16">
        <v>4</v>
      </c>
      <c r="J12" s="23">
        <f>Calculations!V6</f>
        <v>34</v>
      </c>
      <c r="K12" s="42"/>
      <c r="L12" s="42"/>
      <c r="T12">
        <f>Calculations!S6</f>
        <v>7</v>
      </c>
      <c r="U12">
        <f>Calculations!T6</f>
        <v>1.4</v>
      </c>
      <c r="V12">
        <f>Calculations!W6</f>
        <v>7</v>
      </c>
      <c r="W12">
        <f>Calculations!X6</f>
        <v>2.3333333333333335</v>
      </c>
    </row>
    <row r="13" spans="2:23" x14ac:dyDescent="0.35">
      <c r="D13" s="16">
        <v>5</v>
      </c>
      <c r="E13" s="23">
        <f>Calculations!R7</f>
        <v>45</v>
      </c>
      <c r="F13" s="42"/>
      <c r="G13" s="42"/>
      <c r="I13" s="16">
        <v>5</v>
      </c>
      <c r="J13" s="23">
        <f>Calculations!V7</f>
        <v>39</v>
      </c>
      <c r="K13" s="42"/>
      <c r="L13" s="42"/>
      <c r="T13">
        <f>Calculations!S7</f>
        <v>6</v>
      </c>
      <c r="U13">
        <f>Calculations!T7</f>
        <v>1.2</v>
      </c>
      <c r="V13">
        <f>Calculations!W7</f>
        <v>5</v>
      </c>
      <c r="W13">
        <f>Calculations!X7</f>
        <v>1.6666666666666667</v>
      </c>
    </row>
    <row r="14" spans="2:23" x14ac:dyDescent="0.35">
      <c r="D14" s="16">
        <v>6</v>
      </c>
      <c r="E14" s="23">
        <f>Calculations!R8</f>
        <v>49</v>
      </c>
      <c r="F14" s="42"/>
      <c r="G14" s="42"/>
      <c r="I14" s="16">
        <v>6</v>
      </c>
      <c r="J14" s="23">
        <f>Calculations!V8</f>
        <v>43</v>
      </c>
      <c r="K14" s="42"/>
      <c r="L14" s="42"/>
      <c r="T14">
        <f>Calculations!S8</f>
        <v>4</v>
      </c>
      <c r="U14">
        <f>Calculations!T8</f>
        <v>0.8</v>
      </c>
      <c r="V14">
        <f>Calculations!W8</f>
        <v>4</v>
      </c>
      <c r="W14">
        <f>Calculations!X8</f>
        <v>1.3333333333333333</v>
      </c>
    </row>
    <row r="15" spans="2:23" x14ac:dyDescent="0.35">
      <c r="D15" s="16">
        <v>7</v>
      </c>
      <c r="E15" s="23">
        <f>Calculations!R9</f>
        <v>52</v>
      </c>
      <c r="F15" s="42"/>
      <c r="G15" s="42"/>
      <c r="I15" s="16">
        <v>7</v>
      </c>
      <c r="J15" s="23">
        <f>Calculations!V9</f>
        <v>45</v>
      </c>
      <c r="K15" s="42"/>
      <c r="L15" s="42"/>
      <c r="T15">
        <f>Calculations!S9</f>
        <v>3</v>
      </c>
      <c r="U15">
        <f>Calculations!T9</f>
        <v>0.6</v>
      </c>
      <c r="V15">
        <f>Calculations!W9</f>
        <v>2</v>
      </c>
      <c r="W15">
        <f>Calculations!X9</f>
        <v>0.66666666666666663</v>
      </c>
    </row>
    <row r="16" spans="2:23" x14ac:dyDescent="0.35">
      <c r="D16" s="16">
        <v>8</v>
      </c>
      <c r="E16" s="23">
        <f>Calculations!R10</f>
        <v>53</v>
      </c>
      <c r="F16" s="42"/>
      <c r="G16" s="42"/>
      <c r="I16" s="16">
        <v>8</v>
      </c>
      <c r="J16" s="23">
        <f>Calculations!V10</f>
        <v>46</v>
      </c>
      <c r="K16" s="42"/>
      <c r="L16" s="42"/>
      <c r="T16">
        <f>Calculations!S10</f>
        <v>1</v>
      </c>
      <c r="U16">
        <f>Calculations!T10</f>
        <v>0.2</v>
      </c>
      <c r="V16">
        <f>Calculations!W10</f>
        <v>1</v>
      </c>
      <c r="W16">
        <f>Calculations!X10</f>
        <v>0.33333333333333331</v>
      </c>
    </row>
    <row r="17" spans="2:23" x14ac:dyDescent="0.35">
      <c r="D17" s="16">
        <v>9</v>
      </c>
      <c r="E17" s="23">
        <f>Calculations!R11</f>
        <v>53</v>
      </c>
      <c r="F17" s="42"/>
      <c r="G17" s="42"/>
      <c r="I17" s="16">
        <v>9</v>
      </c>
      <c r="J17" s="23">
        <f>Calculations!V11</f>
        <v>46</v>
      </c>
      <c r="K17" s="42"/>
      <c r="L17" s="42"/>
      <c r="T17">
        <f>Calculations!S11</f>
        <v>0</v>
      </c>
      <c r="U17">
        <f>Calculations!T11</f>
        <v>0</v>
      </c>
      <c r="V17">
        <f>Calculations!W11</f>
        <v>0</v>
      </c>
      <c r="W17">
        <f>Calculations!X11</f>
        <v>0</v>
      </c>
    </row>
    <row r="18" spans="2:23" x14ac:dyDescent="0.35"/>
    <row r="19" spans="2:23" x14ac:dyDescent="0.35">
      <c r="B19" s="9" t="str">
        <f>"Optimal "&amp;Calculations!C4</f>
        <v>Optimal Fish</v>
      </c>
      <c r="C19" s="43"/>
      <c r="T19" s="9" t="str">
        <f>"Optimal "&amp;Calculations!C4</f>
        <v>Optimal Fish</v>
      </c>
      <c r="U19">
        <f>Calculations!O6</f>
        <v>1</v>
      </c>
    </row>
    <row r="20" spans="2:23" x14ac:dyDescent="0.35">
      <c r="B20" s="9" t="str">
        <f>"Optimal "&amp;Calculations!H4</f>
        <v>Optimal Coconuts</v>
      </c>
      <c r="C20" s="43"/>
      <c r="T20" s="9" t="str">
        <f>"Optimal "&amp;Calculations!H4</f>
        <v>Optimal Coconuts</v>
      </c>
      <c r="U20">
        <f>Calculations!O7</f>
        <v>3</v>
      </c>
    </row>
    <row r="21" spans="2:23" x14ac:dyDescent="0.35">
      <c r="B21" s="9" t="s">
        <v>1</v>
      </c>
      <c r="C21" s="44"/>
      <c r="T21" s="9" t="s">
        <v>1</v>
      </c>
      <c r="U21">
        <f>Calculations!O9</f>
        <v>14</v>
      </c>
    </row>
    <row r="22" spans="2:23" x14ac:dyDescent="0.35">
      <c r="B22" s="9" t="s">
        <v>2</v>
      </c>
      <c r="C22" s="42"/>
      <c r="T22" s="9" t="s">
        <v>2</v>
      </c>
      <c r="U22">
        <f>Calculations!O10</f>
        <v>40</v>
      </c>
    </row>
    <row r="23" spans="2:23" x14ac:dyDescent="0.35"/>
  </sheetData>
  <sheetProtection algorithmName="SHA-512" hashValue="Uaac9obvtoxY/jobOoFgU28dRk4fG78ScYxdmuoOyr2umFhgJjIY1WevY5D0sjiyBCLwzpFs5zz1POUMkAXeHQ==" saltValue="06HO6xb5DT7zg+tx9ybHHg==" spinCount="100000" sheet="1" objects="1" scenarios="1" selectLockedCells="1"/>
  <conditionalFormatting sqref="C19:C22">
    <cfRule type="expression" dxfId="5" priority="9">
      <formula>AND(C19&lt;&gt;"",ROUND(C19,4)=ROUND(U19,4))</formula>
    </cfRule>
    <cfRule type="expression" dxfId="4" priority="10">
      <formula>AND(C19&lt;&gt;"",ROUND(C19,4)&lt;&gt;ROUND(U19,4))</formula>
    </cfRule>
  </conditionalFormatting>
  <conditionalFormatting sqref="F9:G17">
    <cfRule type="expression" dxfId="3" priority="1">
      <formula>AND(F9&lt;&gt;"",ROUND(F9,4)=ROUND(T9,4))</formula>
    </cfRule>
    <cfRule type="expression" dxfId="2" priority="2">
      <formula>AND(F9&lt;&gt;"",ROUND(F9,4)&lt;&gt;ROUND(T9,4))</formula>
    </cfRule>
  </conditionalFormatting>
  <conditionalFormatting sqref="K9:L17">
    <cfRule type="expression" dxfId="1" priority="5">
      <formula>AND(K9&lt;&gt;"",ROUND(K9,4)=ROUND(V9,4))</formula>
    </cfRule>
    <cfRule type="expression" dxfId="0" priority="6">
      <formula>AND(K9&lt;&gt;"",ROUND(K9,4)&lt;&gt;ROUND(V9,4))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006CB-0E94-494A-ADC9-4D0297B70C7D}">
  <sheetPr>
    <pageSetUpPr fitToPage="1"/>
  </sheetPr>
  <dimension ref="A1:M44"/>
  <sheetViews>
    <sheetView showGridLines="0" zoomScale="62" workbookViewId="0"/>
  </sheetViews>
  <sheetFormatPr defaultColWidth="0" defaultRowHeight="14.5" zeroHeight="1" x14ac:dyDescent="0.35"/>
  <cols>
    <col min="1" max="1" width="1.81640625" customWidth="1"/>
    <col min="2" max="2" width="16.36328125" customWidth="1"/>
    <col min="3" max="3" width="13.6328125" customWidth="1"/>
    <col min="4" max="4" width="11.81640625" customWidth="1"/>
    <col min="5" max="5" width="13.6328125" customWidth="1"/>
    <col min="6" max="6" width="16.36328125" customWidth="1"/>
    <col min="7" max="7" width="12.7265625" customWidth="1"/>
    <col min="8" max="8" width="2.7265625" customWidth="1"/>
    <col min="9" max="9" width="11.81640625" customWidth="1"/>
    <col min="10" max="10" width="13.6328125" customWidth="1"/>
    <col min="11" max="11" width="16.36328125" customWidth="1"/>
    <col min="12" max="12" width="12.7265625" customWidth="1"/>
    <col min="13" max="13" width="8.7265625" customWidth="1"/>
    <col min="14" max="16384" width="8.7265625" hidden="1"/>
  </cols>
  <sheetData>
    <row r="1" spans="2:12" ht="18.5" x14ac:dyDescent="0.45">
      <c r="B1" s="7" t="s">
        <v>13</v>
      </c>
      <c r="F1" s="40" t="str">
        <f>IF(Input!C5=0,"Manual Problem","Problem "&amp;Input!C5)</f>
        <v>Problem 1</v>
      </c>
    </row>
    <row r="2" spans="2:12" x14ac:dyDescent="0.35"/>
    <row r="3" spans="2:12" x14ac:dyDescent="0.35">
      <c r="B3" s="9" t="s">
        <v>7</v>
      </c>
      <c r="C3" s="10">
        <f>Calculations!C3</f>
        <v>15</v>
      </c>
    </row>
    <row r="4" spans="2:12" x14ac:dyDescent="0.35"/>
    <row r="5" spans="2:12" ht="16" x14ac:dyDescent="0.4">
      <c r="D5" s="11" t="str">
        <f>Calculations!C4&amp;" ($"&amp;Calculations!D4&amp;")"</f>
        <v>Fish ($5)</v>
      </c>
      <c r="E5" s="11"/>
      <c r="I5" s="11" t="str">
        <f>Calculations!H4&amp;" ($"&amp;Calculations!I4&amp;")"</f>
        <v>Coconuts ($3)</v>
      </c>
      <c r="J5" s="11"/>
    </row>
    <row r="6" spans="2:12" x14ac:dyDescent="0.35">
      <c r="D6" s="12" t="s">
        <v>6</v>
      </c>
      <c r="E6" s="12" t="s">
        <v>2</v>
      </c>
      <c r="F6" s="12" t="s">
        <v>10</v>
      </c>
      <c r="G6" s="12" t="s">
        <v>11</v>
      </c>
      <c r="I6" s="12" t="s">
        <v>6</v>
      </c>
      <c r="J6" s="12" t="s">
        <v>2</v>
      </c>
      <c r="K6" s="12" t="s">
        <v>10</v>
      </c>
      <c r="L6" s="12" t="s">
        <v>11</v>
      </c>
    </row>
    <row r="7" spans="2:12" x14ac:dyDescent="0.35">
      <c r="D7" s="14">
        <v>1</v>
      </c>
      <c r="E7" s="23">
        <f>Calculations!R3</f>
        <v>13</v>
      </c>
      <c r="F7" s="16"/>
      <c r="G7" s="16"/>
      <c r="I7" s="14">
        <v>1</v>
      </c>
      <c r="J7" s="23">
        <f>Calculations!V3</f>
        <v>10</v>
      </c>
      <c r="K7" s="16"/>
      <c r="L7" s="16"/>
    </row>
    <row r="8" spans="2:12" x14ac:dyDescent="0.35">
      <c r="D8" s="14">
        <v>2</v>
      </c>
      <c r="E8" s="23">
        <f>Calculations!R4</f>
        <v>24</v>
      </c>
      <c r="F8" s="16"/>
      <c r="G8" s="16"/>
      <c r="I8" s="14">
        <v>2</v>
      </c>
      <c r="J8" s="23">
        <f>Calculations!V4</f>
        <v>19</v>
      </c>
      <c r="K8" s="16"/>
      <c r="L8" s="16"/>
    </row>
    <row r="9" spans="2:12" x14ac:dyDescent="0.35">
      <c r="D9" s="14">
        <v>3</v>
      </c>
      <c r="E9" s="23">
        <f>Calculations!R5</f>
        <v>32</v>
      </c>
      <c r="F9" s="16"/>
      <c r="G9" s="16"/>
      <c r="I9" s="14">
        <v>3</v>
      </c>
      <c r="J9" s="23">
        <f>Calculations!V5</f>
        <v>27</v>
      </c>
      <c r="K9" s="16"/>
      <c r="L9" s="16"/>
    </row>
    <row r="10" spans="2:12" x14ac:dyDescent="0.35">
      <c r="D10" s="14">
        <v>4</v>
      </c>
      <c r="E10" s="23">
        <f>Calculations!R6</f>
        <v>39</v>
      </c>
      <c r="F10" s="16"/>
      <c r="G10" s="16"/>
      <c r="I10" s="14">
        <v>4</v>
      </c>
      <c r="J10" s="23">
        <f>Calculations!V6</f>
        <v>34</v>
      </c>
      <c r="K10" s="16"/>
      <c r="L10" s="16"/>
    </row>
    <row r="11" spans="2:12" x14ac:dyDescent="0.35">
      <c r="D11" s="14">
        <v>5</v>
      </c>
      <c r="E11" s="23">
        <f>Calculations!R7</f>
        <v>45</v>
      </c>
      <c r="F11" s="16"/>
      <c r="G11" s="16"/>
      <c r="I11" s="14">
        <v>5</v>
      </c>
      <c r="J11" s="23">
        <f>Calculations!V7</f>
        <v>39</v>
      </c>
      <c r="K11" s="16"/>
      <c r="L11" s="16"/>
    </row>
    <row r="12" spans="2:12" x14ac:dyDescent="0.35">
      <c r="D12" s="14">
        <v>6</v>
      </c>
      <c r="E12" s="23">
        <f>Calculations!R8</f>
        <v>49</v>
      </c>
      <c r="F12" s="16"/>
      <c r="G12" s="16"/>
      <c r="I12" s="14">
        <v>6</v>
      </c>
      <c r="J12" s="23">
        <f>Calculations!V8</f>
        <v>43</v>
      </c>
      <c r="K12" s="16"/>
      <c r="L12" s="16"/>
    </row>
    <row r="13" spans="2:12" x14ac:dyDescent="0.35">
      <c r="D13" s="14">
        <v>7</v>
      </c>
      <c r="E13" s="23">
        <f>Calculations!R9</f>
        <v>52</v>
      </c>
      <c r="F13" s="16"/>
      <c r="G13" s="16"/>
      <c r="I13" s="14">
        <v>7</v>
      </c>
      <c r="J13" s="23">
        <f>Calculations!V9</f>
        <v>45</v>
      </c>
      <c r="K13" s="16"/>
      <c r="L13" s="16"/>
    </row>
    <row r="14" spans="2:12" x14ac:dyDescent="0.35">
      <c r="D14" s="14">
        <v>8</v>
      </c>
      <c r="E14" s="23">
        <f>Calculations!R10</f>
        <v>53</v>
      </c>
      <c r="F14" s="16"/>
      <c r="G14" s="16"/>
      <c r="I14" s="14">
        <v>8</v>
      </c>
      <c r="J14" s="23">
        <f>Calculations!V10</f>
        <v>46</v>
      </c>
      <c r="K14" s="16"/>
      <c r="L14" s="16"/>
    </row>
    <row r="15" spans="2:12" x14ac:dyDescent="0.35">
      <c r="D15" s="14">
        <v>9</v>
      </c>
      <c r="E15" s="23">
        <f>Calculations!R11</f>
        <v>53</v>
      </c>
      <c r="F15" s="16"/>
      <c r="G15" s="16"/>
      <c r="I15" s="14">
        <v>9</v>
      </c>
      <c r="J15" s="23">
        <f>Calculations!V11</f>
        <v>46</v>
      </c>
      <c r="K15" s="16"/>
      <c r="L15" s="16"/>
    </row>
    <row r="16" spans="2:12" x14ac:dyDescent="0.35"/>
    <row r="17" spans="2:12" x14ac:dyDescent="0.35">
      <c r="B17" s="9" t="str">
        <f>"Optimal "&amp;Calculations!C4</f>
        <v>Optimal Fish</v>
      </c>
      <c r="C17" s="17"/>
    </row>
    <row r="18" spans="2:12" x14ac:dyDescent="0.35">
      <c r="B18" s="9" t="str">
        <f>"Optimal "&amp;Calculations!H4</f>
        <v>Optimal Coconuts</v>
      </c>
      <c r="C18" s="17"/>
    </row>
    <row r="19" spans="2:12" x14ac:dyDescent="0.35">
      <c r="B19" s="9" t="s">
        <v>1</v>
      </c>
      <c r="C19" s="17"/>
    </row>
    <row r="20" spans="2:12" x14ac:dyDescent="0.35">
      <c r="B20" s="9" t="s">
        <v>2</v>
      </c>
      <c r="C20" s="17"/>
    </row>
    <row r="21" spans="2:12" x14ac:dyDescent="0.35"/>
    <row r="22" spans="2:12" x14ac:dyDescent="0.35"/>
    <row r="23" spans="2:12" x14ac:dyDescent="0.35"/>
    <row r="24" spans="2:12" ht="18.5" x14ac:dyDescent="0.45">
      <c r="B24" s="18" t="s">
        <v>14</v>
      </c>
      <c r="F24" s="41" t="str">
        <f>IF(Input!C5=0,"Manual Problem","Problem "&amp;Input!C5)</f>
        <v>Problem 1</v>
      </c>
    </row>
    <row r="25" spans="2:12" x14ac:dyDescent="0.35"/>
    <row r="26" spans="2:12" x14ac:dyDescent="0.35">
      <c r="B26" s="9" t="s">
        <v>7</v>
      </c>
      <c r="C26" s="10">
        <f>Calculations!C3</f>
        <v>15</v>
      </c>
    </row>
    <row r="27" spans="2:12" x14ac:dyDescent="0.35"/>
    <row r="28" spans="2:12" ht="16" x14ac:dyDescent="0.4">
      <c r="D28" s="11" t="str">
        <f>Calculations!C4&amp;" ($"&amp;Calculations!D4&amp;")"</f>
        <v>Fish ($5)</v>
      </c>
      <c r="E28" s="11"/>
      <c r="I28" s="11" t="str">
        <f>Calculations!H4&amp;" ($"&amp;Calculations!I4&amp;")"</f>
        <v>Coconuts ($3)</v>
      </c>
      <c r="J28" s="11"/>
    </row>
    <row r="29" spans="2:12" x14ac:dyDescent="0.35">
      <c r="D29" s="12" t="s">
        <v>6</v>
      </c>
      <c r="E29" s="12" t="s">
        <v>2</v>
      </c>
      <c r="F29" s="12" t="s">
        <v>10</v>
      </c>
      <c r="G29" s="12" t="s">
        <v>11</v>
      </c>
      <c r="I29" s="12" t="s">
        <v>6</v>
      </c>
      <c r="J29" s="12" t="s">
        <v>2</v>
      </c>
      <c r="K29" s="12" t="s">
        <v>10</v>
      </c>
      <c r="L29" s="12" t="s">
        <v>11</v>
      </c>
    </row>
    <row r="30" spans="2:12" x14ac:dyDescent="0.35">
      <c r="D30" s="14">
        <v>1</v>
      </c>
      <c r="E30" s="22">
        <f>Calculations!R3</f>
        <v>13</v>
      </c>
      <c r="F30" s="15">
        <f>Calculations!S3</f>
        <v>13</v>
      </c>
      <c r="G30" s="39">
        <f>Calculations!T3</f>
        <v>2.6</v>
      </c>
      <c r="I30" s="14">
        <v>1</v>
      </c>
      <c r="J30" s="22">
        <f>Calculations!V3</f>
        <v>10</v>
      </c>
      <c r="K30" s="15">
        <f>Calculations!W3</f>
        <v>10</v>
      </c>
      <c r="L30" s="39">
        <f>Calculations!X3</f>
        <v>3.3333333333333335</v>
      </c>
    </row>
    <row r="31" spans="2:12" x14ac:dyDescent="0.35">
      <c r="D31" s="14">
        <v>2</v>
      </c>
      <c r="E31" s="22">
        <f>Calculations!R4</f>
        <v>24</v>
      </c>
      <c r="F31" s="15">
        <f>Calculations!S4</f>
        <v>11</v>
      </c>
      <c r="G31" s="39">
        <f>Calculations!T4</f>
        <v>2.2000000000000002</v>
      </c>
      <c r="I31" s="14">
        <v>2</v>
      </c>
      <c r="J31" s="22">
        <f>Calculations!V4</f>
        <v>19</v>
      </c>
      <c r="K31" s="15">
        <f>Calculations!W4</f>
        <v>9</v>
      </c>
      <c r="L31" s="39">
        <f>Calculations!X4</f>
        <v>3</v>
      </c>
    </row>
    <row r="32" spans="2:12" x14ac:dyDescent="0.35">
      <c r="D32" s="14">
        <v>3</v>
      </c>
      <c r="E32" s="22">
        <f>Calculations!R5</f>
        <v>32</v>
      </c>
      <c r="F32" s="15">
        <f>Calculations!S5</f>
        <v>8</v>
      </c>
      <c r="G32" s="39">
        <f>Calculations!T5</f>
        <v>1.6</v>
      </c>
      <c r="I32" s="14">
        <v>3</v>
      </c>
      <c r="J32" s="22">
        <f>Calculations!V5</f>
        <v>27</v>
      </c>
      <c r="K32" s="15">
        <f>Calculations!W5</f>
        <v>8</v>
      </c>
      <c r="L32" s="39">
        <f>Calculations!X5</f>
        <v>2.6666666666666665</v>
      </c>
    </row>
    <row r="33" spans="2:12" x14ac:dyDescent="0.35">
      <c r="D33" s="14">
        <v>4</v>
      </c>
      <c r="E33" s="22">
        <f>Calculations!R6</f>
        <v>39</v>
      </c>
      <c r="F33" s="15">
        <f>Calculations!S6</f>
        <v>7</v>
      </c>
      <c r="G33" s="39">
        <f>Calculations!T6</f>
        <v>1.4</v>
      </c>
      <c r="I33" s="14">
        <v>4</v>
      </c>
      <c r="J33" s="22">
        <f>Calculations!V6</f>
        <v>34</v>
      </c>
      <c r="K33" s="15">
        <f>Calculations!W6</f>
        <v>7</v>
      </c>
      <c r="L33" s="39">
        <f>Calculations!X6</f>
        <v>2.3333333333333335</v>
      </c>
    </row>
    <row r="34" spans="2:12" x14ac:dyDescent="0.35">
      <c r="D34" s="14">
        <v>5</v>
      </c>
      <c r="E34" s="22">
        <f>Calculations!R7</f>
        <v>45</v>
      </c>
      <c r="F34" s="15">
        <f>Calculations!S7</f>
        <v>6</v>
      </c>
      <c r="G34" s="39">
        <f>Calculations!T7</f>
        <v>1.2</v>
      </c>
      <c r="I34" s="14">
        <v>5</v>
      </c>
      <c r="J34" s="22">
        <f>Calculations!V7</f>
        <v>39</v>
      </c>
      <c r="K34" s="15">
        <f>Calculations!W7</f>
        <v>5</v>
      </c>
      <c r="L34" s="39">
        <f>Calculations!X7</f>
        <v>1.6666666666666667</v>
      </c>
    </row>
    <row r="35" spans="2:12" x14ac:dyDescent="0.35">
      <c r="D35" s="14">
        <v>6</v>
      </c>
      <c r="E35" s="22">
        <f>Calculations!R8</f>
        <v>49</v>
      </c>
      <c r="F35" s="15">
        <f>Calculations!S8</f>
        <v>4</v>
      </c>
      <c r="G35" s="39">
        <f>Calculations!T8</f>
        <v>0.8</v>
      </c>
      <c r="I35" s="14">
        <v>6</v>
      </c>
      <c r="J35" s="22">
        <f>Calculations!V8</f>
        <v>43</v>
      </c>
      <c r="K35" s="15">
        <f>Calculations!W8</f>
        <v>4</v>
      </c>
      <c r="L35" s="39">
        <f>Calculations!X8</f>
        <v>1.3333333333333333</v>
      </c>
    </row>
    <row r="36" spans="2:12" x14ac:dyDescent="0.35">
      <c r="D36" s="14">
        <v>7</v>
      </c>
      <c r="E36" s="22">
        <f>Calculations!R9</f>
        <v>52</v>
      </c>
      <c r="F36" s="15">
        <f>Calculations!S9</f>
        <v>3</v>
      </c>
      <c r="G36" s="39">
        <f>Calculations!T9</f>
        <v>0.6</v>
      </c>
      <c r="I36" s="14">
        <v>7</v>
      </c>
      <c r="J36" s="22">
        <f>Calculations!V9</f>
        <v>45</v>
      </c>
      <c r="K36" s="15">
        <f>Calculations!W9</f>
        <v>2</v>
      </c>
      <c r="L36" s="39">
        <f>Calculations!X9</f>
        <v>0.66666666666666663</v>
      </c>
    </row>
    <row r="37" spans="2:12" x14ac:dyDescent="0.35">
      <c r="D37" s="14">
        <v>8</v>
      </c>
      <c r="E37" s="22">
        <f>Calculations!R10</f>
        <v>53</v>
      </c>
      <c r="F37" s="15">
        <f>Calculations!S10</f>
        <v>1</v>
      </c>
      <c r="G37" s="39">
        <f>Calculations!T10</f>
        <v>0.2</v>
      </c>
      <c r="I37" s="14">
        <v>8</v>
      </c>
      <c r="J37" s="22">
        <f>Calculations!V10</f>
        <v>46</v>
      </c>
      <c r="K37" s="15">
        <f>Calculations!W10</f>
        <v>1</v>
      </c>
      <c r="L37" s="39">
        <f>Calculations!X10</f>
        <v>0.33333333333333331</v>
      </c>
    </row>
    <row r="38" spans="2:12" x14ac:dyDescent="0.35">
      <c r="D38" s="14">
        <v>9</v>
      </c>
      <c r="E38" s="22">
        <f>Calculations!R11</f>
        <v>53</v>
      </c>
      <c r="F38" s="15">
        <f>Calculations!S11</f>
        <v>0</v>
      </c>
      <c r="G38" s="39">
        <f>Calculations!T11</f>
        <v>0</v>
      </c>
      <c r="I38" s="14">
        <v>9</v>
      </c>
      <c r="J38" s="22">
        <f>Calculations!V11</f>
        <v>46</v>
      </c>
      <c r="K38" s="15">
        <f>Calculations!W11</f>
        <v>0</v>
      </c>
      <c r="L38" s="39">
        <f>Calculations!X11</f>
        <v>0</v>
      </c>
    </row>
    <row r="39" spans="2:12" x14ac:dyDescent="0.35"/>
    <row r="40" spans="2:12" x14ac:dyDescent="0.35">
      <c r="B40" s="9" t="str">
        <f>"Optimal "&amp;Calculations!C4</f>
        <v>Optimal Fish</v>
      </c>
      <c r="C40" s="20">
        <f>Calculations!O6</f>
        <v>1</v>
      </c>
    </row>
    <row r="41" spans="2:12" x14ac:dyDescent="0.35">
      <c r="B41" s="9" t="str">
        <f>"Optimal "&amp;Calculations!H4</f>
        <v>Optimal Coconuts</v>
      </c>
      <c r="C41" s="20">
        <f>Calculations!O7</f>
        <v>3</v>
      </c>
    </row>
    <row r="42" spans="2:12" x14ac:dyDescent="0.35">
      <c r="B42" s="9" t="s">
        <v>1</v>
      </c>
      <c r="C42" s="21">
        <f>Calculations!O9</f>
        <v>14</v>
      </c>
    </row>
    <row r="43" spans="2:12" x14ac:dyDescent="0.35">
      <c r="B43" s="9" t="s">
        <v>2</v>
      </c>
      <c r="C43" s="20">
        <f>Calculations!O10</f>
        <v>40</v>
      </c>
    </row>
    <row r="44" spans="2:12" x14ac:dyDescent="0.35"/>
  </sheetData>
  <sheetProtection algorithmName="SHA-512" hashValue="3mieRt/3bztWudFYFDaI60Ch7dbo01+z5ZktSeW0ucffDVC/TWZh4vbPaUev9YMjE1pWN4sVZ9y0kxSwR7LYhQ==" saltValue="Wti6gZPSMQ6OWpv47oA9Ag==" spinCount="100000" sheet="1" objects="1" scenarios="1" selectLockedCells="1"/>
  <pageMargins left="0.25" right="0.25" top="0.75" bottom="0.75" header="0.25" footer="0.25"/>
  <pageSetup scale="87" fitToHeight="0" orientation="landscape" r:id="rId1"/>
  <rowBreaks count="1" manualBreakCount="1">
    <brk id="2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C0818-6918-4D75-992A-2558152270E6}">
  <dimension ref="A1:BG33"/>
  <sheetViews>
    <sheetView zoomScale="56" zoomScaleNormal="85" workbookViewId="0"/>
  </sheetViews>
  <sheetFormatPr defaultColWidth="0" defaultRowHeight="14.5" zeroHeight="1" outlineLevelCol="2" x14ac:dyDescent="0.35"/>
  <cols>
    <col min="1" max="1" width="1.81640625" customWidth="1"/>
    <col min="2" max="2" width="18.1796875" customWidth="1"/>
    <col min="3" max="3" width="10" customWidth="1"/>
    <col min="4" max="7" width="8.1796875" customWidth="1"/>
    <col min="8" max="8" width="10.90625" customWidth="1"/>
    <col min="9" max="9" width="10" customWidth="1"/>
    <col min="10" max="11" width="8.1796875" customWidth="1"/>
    <col min="12" max="12" width="2.7265625" customWidth="1"/>
    <col min="13" max="13" width="13.54296875" customWidth="1" outlineLevel="1"/>
    <col min="14" max="14" width="10.6328125" customWidth="1" outlineLevel="1"/>
    <col min="15" max="16" width="8.7265625" customWidth="1" outlineLevel="1"/>
    <col min="17" max="24" width="9.81640625" customWidth="1" outlineLevel="1"/>
    <col min="25" max="25" width="8.7265625" customWidth="1" outlineLevel="1"/>
    <col min="26" max="26" width="14.54296875" customWidth="1" outlineLevel="1"/>
    <col min="27" max="37" width="8.7265625" customWidth="1" outlineLevel="1"/>
    <col min="38" max="58" width="8.7265625" customWidth="1" outlineLevel="2"/>
    <col min="59" max="59" width="8.7265625" customWidth="1"/>
    <col min="60" max="16384" width="8.7265625" hidden="1"/>
  </cols>
  <sheetData>
    <row r="1" spans="2:58" x14ac:dyDescent="0.35"/>
    <row r="2" spans="2:58" ht="72.5" x14ac:dyDescent="0.35">
      <c r="M2" s="1" t="str">
        <f>"Cost "&amp;C4</f>
        <v>Cost Fish</v>
      </c>
      <c r="O2" s="3">
        <f>D4</f>
        <v>5</v>
      </c>
      <c r="Q2" s="2" t="str">
        <f>"Quantity "&amp;C4</f>
        <v>Quantity Fish</v>
      </c>
      <c r="R2" s="2" t="str">
        <f>"Total Utility "&amp;C4</f>
        <v>Total Utility Fish</v>
      </c>
      <c r="S2" s="2" t="str">
        <f>"Marginal Utility "&amp;C4</f>
        <v>Marginal Utility Fish</v>
      </c>
      <c r="T2" s="2" t="str">
        <f>"Marginal Utility Per Dollar "&amp;C4</f>
        <v>Marginal Utility Per Dollar Fish</v>
      </c>
      <c r="U2" s="2" t="str">
        <f>"Quantity "&amp;H4</f>
        <v>Quantity Coconuts</v>
      </c>
      <c r="V2" s="2" t="str">
        <f>"Total Utility "&amp;H4</f>
        <v>Total Utility Coconuts</v>
      </c>
      <c r="W2" s="2" t="str">
        <f>"Marginal Utility "&amp;H4</f>
        <v>Marginal Utility Coconuts</v>
      </c>
      <c r="X2" s="2" t="str">
        <f>"Marginal Utility Per Dollar "&amp;H4</f>
        <v>Marginal Utility Per Dollar Coconuts</v>
      </c>
      <c r="Z2" s="4" t="str">
        <f>"TU Grid (rows="&amp;C4&amp;" qty 0-9, cols="&amp;H4&amp;" qty 0-9)"</f>
        <v>TU Grid (rows=Fish qty 0-9, cols=Coconuts qty 0-9)</v>
      </c>
      <c r="AL2" t="s">
        <v>16</v>
      </c>
    </row>
    <row r="3" spans="2:58" x14ac:dyDescent="0.35">
      <c r="B3" s="26" t="s">
        <v>7</v>
      </c>
      <c r="C3" s="6">
        <f>Input!C2</f>
        <v>15</v>
      </c>
      <c r="M3" s="1" t="str">
        <f>"Cost "&amp;H4</f>
        <v>Cost Coconuts</v>
      </c>
      <c r="O3" s="3">
        <f>I4</f>
        <v>3</v>
      </c>
      <c r="Q3" s="6">
        <v>1</v>
      </c>
      <c r="R3" s="6">
        <f>S3+R24</f>
        <v>13</v>
      </c>
      <c r="S3" s="6">
        <f t="shared" ref="S3:S11" si="0">T3*$O$2</f>
        <v>13</v>
      </c>
      <c r="T3" s="38" cm="1">
        <f t="array" ref="T3">IF($C$6=0,$C$13/$D$4,INDEX($AO$4:$AO$23,MOD($C$6-1,20)+1)/$D$4)</f>
        <v>2.6</v>
      </c>
      <c r="U3" s="6">
        <v>1</v>
      </c>
      <c r="V3" s="6">
        <f>W3+V24</f>
        <v>10</v>
      </c>
      <c r="W3" s="6">
        <f t="shared" ref="W3:W11" si="1">X3*$O$3</f>
        <v>10</v>
      </c>
      <c r="X3" s="38" cm="1">
        <f t="array" ref="X3">IF($C$6=0,$C$14/$I$4,INDEX($AX$4:$AX$23,MOD($C$6-1,20)+1)/$I$4)</f>
        <v>3.3333333333333335</v>
      </c>
      <c r="AA3">
        <v>0</v>
      </c>
      <c r="AB3">
        <v>1</v>
      </c>
      <c r="AC3">
        <v>2</v>
      </c>
      <c r="AD3">
        <v>3</v>
      </c>
      <c r="AE3">
        <v>4</v>
      </c>
      <c r="AF3">
        <v>5</v>
      </c>
      <c r="AG3">
        <v>6</v>
      </c>
      <c r="AH3">
        <v>7</v>
      </c>
      <c r="AI3">
        <v>8</v>
      </c>
      <c r="AJ3">
        <v>9</v>
      </c>
      <c r="AL3">
        <v>0</v>
      </c>
      <c r="AM3" t="str">
        <f>LEFT(C4,3)&amp;"Px"</f>
        <v>FisPx</v>
      </c>
      <c r="AN3" t="str">
        <f>LEFT(H4,3)&amp;"Px"</f>
        <v>CocPx</v>
      </c>
      <c r="AO3" t="str">
        <f>LEFT(C4,3)&amp;"MU1"</f>
        <v>FisMU1</v>
      </c>
      <c r="AP3" t="str">
        <f>LEFT(C4,3)&amp;"MU2"</f>
        <v>FisMU2</v>
      </c>
      <c r="AQ3" t="str">
        <f>LEFT(C4,3)&amp;"MU3"</f>
        <v>FisMU3</v>
      </c>
      <c r="AR3" t="str">
        <f>LEFT(C4,3)&amp;"MU4"</f>
        <v>FisMU4</v>
      </c>
      <c r="AS3" t="str">
        <f>LEFT(C4,3)&amp;"MU5"</f>
        <v>FisMU5</v>
      </c>
      <c r="AT3" t="str">
        <f>LEFT(C4,3)&amp;"MU6"</f>
        <v>FisMU6</v>
      </c>
      <c r="AU3" t="str">
        <f>LEFT(C4,3)&amp;"MU7"</f>
        <v>FisMU7</v>
      </c>
      <c r="AV3" t="str">
        <f>LEFT(C4,3)&amp;"MU8"</f>
        <v>FisMU8</v>
      </c>
      <c r="AW3" t="str">
        <f>LEFT(C4,3)&amp;"MU9"</f>
        <v>FisMU9</v>
      </c>
      <c r="AX3" t="str">
        <f>LEFT(H4,3)&amp;"MU1"</f>
        <v>CocMU1</v>
      </c>
      <c r="AY3" t="str">
        <f>LEFT(H4,3)&amp;"MU2"</f>
        <v>CocMU2</v>
      </c>
      <c r="AZ3" t="str">
        <f>LEFT(H4,3)&amp;"MU3"</f>
        <v>CocMU3</v>
      </c>
      <c r="BA3" t="str">
        <f>LEFT(H4,3)&amp;"MU4"</f>
        <v>CocMU4</v>
      </c>
      <c r="BB3" t="str">
        <f>LEFT(H4,3)&amp;"MU5"</f>
        <v>CocMU5</v>
      </c>
      <c r="BC3" t="str">
        <f>LEFT(H4,3)&amp;"MU6"</f>
        <v>CocMU6</v>
      </c>
      <c r="BD3" t="str">
        <f>LEFT(H4,3)&amp;"MU7"</f>
        <v>CocMU7</v>
      </c>
      <c r="BE3" t="str">
        <f>LEFT(H4,3)&amp;"MU8"</f>
        <v>CocMU8</v>
      </c>
      <c r="BF3" t="str">
        <f>LEFT(H4,3)&amp;"MU9"</f>
        <v>CocMU9</v>
      </c>
    </row>
    <row r="4" spans="2:58" x14ac:dyDescent="0.35">
      <c r="B4" s="28" t="s">
        <v>3</v>
      </c>
      <c r="C4" s="6" t="str">
        <f>Input!C3</f>
        <v>Fish</v>
      </c>
      <c r="D4" s="6" cm="1">
        <f t="array" ref="D4">IF($C$6=0,$C$9,INDEX($AM$4:$AM$23,MOD($C$6-1,20)+1))</f>
        <v>5</v>
      </c>
      <c r="G4" s="28" t="s">
        <v>4</v>
      </c>
      <c r="H4" s="6" t="str">
        <f>Input!H3</f>
        <v>Coconuts</v>
      </c>
      <c r="I4" s="6" cm="1">
        <f t="array" ref="I4">IF($C$6=0,$C$10,INDEX($AN$4:$AN$23,MOD($C$6-1,20)+1))</f>
        <v>3</v>
      </c>
      <c r="M4" s="1" t="s">
        <v>0</v>
      </c>
      <c r="O4" s="3">
        <f>C3</f>
        <v>15</v>
      </c>
      <c r="Q4" s="6">
        <v>2</v>
      </c>
      <c r="R4" s="6">
        <f t="shared" ref="R4:R11" si="2">S4+R3</f>
        <v>24</v>
      </c>
      <c r="S4" s="6">
        <f t="shared" si="0"/>
        <v>11</v>
      </c>
      <c r="T4" s="38" cm="1">
        <f t="array" ref="T4">IF($C$6=0,$D$13/$D$4,INDEX($AP$4:$AP$23,MOD($C$6-1,20)+1)/$D$4)</f>
        <v>2.2000000000000002</v>
      </c>
      <c r="U4" s="6">
        <v>2</v>
      </c>
      <c r="V4" s="6">
        <f t="shared" ref="V4:V11" si="3">W4+V3</f>
        <v>19</v>
      </c>
      <c r="W4" s="6">
        <f t="shared" si="1"/>
        <v>9</v>
      </c>
      <c r="X4" s="38" cm="1">
        <f t="array" ref="X4">IF($C$6=0,$D$14/$I$4,INDEX($AY$4:$AY$23,MOD($C$6-1,20)+1)/$I$4)</f>
        <v>3</v>
      </c>
      <c r="Z4">
        <v>0</v>
      </c>
      <c r="AA4">
        <f t="shared" ref="AA4:AJ13" si="4">IF($Z4*$O$2+AA$3*$O$3&lt;=$O$4,IFERROR(_xlfn.XLOOKUP($Z4,$Q$3:$Q$11,$R$3:$R$11),0)+IFERROR(_xlfn.XLOOKUP(AA$3,$U$3:$U$11,$V$3:$V$11),0),"")</f>
        <v>0</v>
      </c>
      <c r="AB4">
        <f t="shared" si="4"/>
        <v>10</v>
      </c>
      <c r="AC4">
        <f t="shared" si="4"/>
        <v>19</v>
      </c>
      <c r="AD4">
        <f t="shared" si="4"/>
        <v>27</v>
      </c>
      <c r="AE4">
        <f t="shared" si="4"/>
        <v>34</v>
      </c>
      <c r="AF4">
        <f t="shared" si="4"/>
        <v>39</v>
      </c>
      <c r="AG4" t="str">
        <f t="shared" si="4"/>
        <v/>
      </c>
      <c r="AH4" t="str">
        <f t="shared" si="4"/>
        <v/>
      </c>
      <c r="AI4" t="str">
        <f t="shared" si="4"/>
        <v/>
      </c>
      <c r="AJ4" t="str">
        <f t="shared" si="4"/>
        <v/>
      </c>
      <c r="AL4">
        <v>1</v>
      </c>
      <c r="AM4">
        <v>5</v>
      </c>
      <c r="AN4">
        <v>3</v>
      </c>
      <c r="AO4">
        <v>13</v>
      </c>
      <c r="AP4">
        <v>11</v>
      </c>
      <c r="AQ4">
        <v>8</v>
      </c>
      <c r="AR4">
        <v>7</v>
      </c>
      <c r="AS4">
        <v>6</v>
      </c>
      <c r="AT4">
        <v>4</v>
      </c>
      <c r="AU4">
        <v>3</v>
      </c>
      <c r="AV4">
        <v>1</v>
      </c>
      <c r="AW4">
        <v>0</v>
      </c>
      <c r="AX4">
        <v>10</v>
      </c>
      <c r="AY4">
        <v>9</v>
      </c>
      <c r="AZ4">
        <v>8</v>
      </c>
      <c r="BA4">
        <v>7</v>
      </c>
      <c r="BB4">
        <v>5</v>
      </c>
      <c r="BC4">
        <v>4</v>
      </c>
      <c r="BD4">
        <v>2</v>
      </c>
      <c r="BE4">
        <v>1</v>
      </c>
      <c r="BF4">
        <v>0</v>
      </c>
    </row>
    <row r="5" spans="2:58" x14ac:dyDescent="0.35">
      <c r="B5" s="9" t="s">
        <v>5</v>
      </c>
      <c r="Q5" s="6">
        <v>3</v>
      </c>
      <c r="R5" s="6">
        <f t="shared" si="2"/>
        <v>32</v>
      </c>
      <c r="S5" s="6">
        <f t="shared" si="0"/>
        <v>8</v>
      </c>
      <c r="T5" s="38" cm="1">
        <f t="array" ref="T5">IF($C$6=0,$E$13/$D$4,INDEX($AQ$4:$AQ$23,MOD($C$6-1,20)+1)/$D$4)</f>
        <v>1.6</v>
      </c>
      <c r="U5" s="6">
        <v>3</v>
      </c>
      <c r="V5" s="6">
        <f t="shared" si="3"/>
        <v>27</v>
      </c>
      <c r="W5" s="6">
        <f t="shared" si="1"/>
        <v>8</v>
      </c>
      <c r="X5" s="38" cm="1">
        <f t="array" ref="X5">IF($C$6=0,$E$14/$I$4,INDEX($AZ$4:$AZ$23,MOD($C$6-1,20)+1)/$I$4)</f>
        <v>2.6666666666666665</v>
      </c>
      <c r="Z5">
        <v>1</v>
      </c>
      <c r="AA5">
        <f t="shared" si="4"/>
        <v>13</v>
      </c>
      <c r="AB5">
        <f t="shared" si="4"/>
        <v>23</v>
      </c>
      <c r="AC5">
        <f t="shared" si="4"/>
        <v>32</v>
      </c>
      <c r="AD5">
        <f t="shared" si="4"/>
        <v>40</v>
      </c>
      <c r="AE5" t="str">
        <f t="shared" si="4"/>
        <v/>
      </c>
      <c r="AF5" t="str">
        <f t="shared" si="4"/>
        <v/>
      </c>
      <c r="AG5" t="str">
        <f t="shared" si="4"/>
        <v/>
      </c>
      <c r="AH5" t="str">
        <f t="shared" si="4"/>
        <v/>
      </c>
      <c r="AI5" t="str">
        <f t="shared" si="4"/>
        <v/>
      </c>
      <c r="AJ5" t="str">
        <f t="shared" si="4"/>
        <v/>
      </c>
      <c r="AL5">
        <v>2</v>
      </c>
      <c r="AM5">
        <v>3</v>
      </c>
      <c r="AN5">
        <v>3</v>
      </c>
      <c r="AO5">
        <v>14</v>
      </c>
      <c r="AP5">
        <v>11</v>
      </c>
      <c r="AQ5">
        <v>9</v>
      </c>
      <c r="AR5">
        <v>5</v>
      </c>
      <c r="AS5">
        <v>4</v>
      </c>
      <c r="AT5">
        <v>3</v>
      </c>
      <c r="AU5">
        <v>2</v>
      </c>
      <c r="AV5">
        <v>1</v>
      </c>
      <c r="AW5">
        <v>0</v>
      </c>
      <c r="AX5">
        <v>14</v>
      </c>
      <c r="AY5">
        <v>13</v>
      </c>
      <c r="AZ5">
        <v>12</v>
      </c>
      <c r="BA5">
        <v>8</v>
      </c>
      <c r="BB5">
        <v>7</v>
      </c>
      <c r="BC5">
        <v>6</v>
      </c>
      <c r="BD5">
        <v>3</v>
      </c>
      <c r="BE5">
        <v>2</v>
      </c>
      <c r="BF5">
        <v>0</v>
      </c>
    </row>
    <row r="6" spans="2:58" x14ac:dyDescent="0.35">
      <c r="B6" s="29" t="s">
        <v>15</v>
      </c>
      <c r="C6" s="6">
        <f>Input!C5</f>
        <v>1</v>
      </c>
      <c r="M6" s="1" t="str">
        <f>"Optimal "&amp;C4</f>
        <v>Optimal Fish</v>
      </c>
      <c r="O6" s="5" cm="1">
        <f t="array" ref="O6">INDEX($Z$4:$Z$13,INT((MATCH(MAX(IFERROR(_xlfn.TOCOL($AA$4:$AJ$13)*1,-1)),IFERROR(_xlfn.TOCOL($AA$4:$AJ$13)*1,-1),0)-1)/10)+1)</f>
        <v>1</v>
      </c>
      <c r="Q6" s="6">
        <v>4</v>
      </c>
      <c r="R6" s="6">
        <f t="shared" si="2"/>
        <v>39</v>
      </c>
      <c r="S6" s="6">
        <f t="shared" si="0"/>
        <v>7</v>
      </c>
      <c r="T6" s="38" cm="1">
        <f t="array" ref="T6">IF($C$6=0,$F$13/$D$4,INDEX($AR$4:$AR$23,MOD($C$6-1,20)+1)/$D$4)</f>
        <v>1.4</v>
      </c>
      <c r="U6" s="6">
        <v>4</v>
      </c>
      <c r="V6" s="6">
        <f t="shared" si="3"/>
        <v>34</v>
      </c>
      <c r="W6" s="6">
        <f t="shared" si="1"/>
        <v>7</v>
      </c>
      <c r="X6" s="38" cm="1">
        <f t="array" ref="X6">IF($C$6=0,$F$14/$I$4,INDEX($BA$4:$BA$23,MOD($C$6-1,20)+1)/$I$4)</f>
        <v>2.3333333333333335</v>
      </c>
      <c r="Z6">
        <v>2</v>
      </c>
      <c r="AA6">
        <f t="shared" si="4"/>
        <v>24</v>
      </c>
      <c r="AB6">
        <f t="shared" si="4"/>
        <v>34</v>
      </c>
      <c r="AC6" t="str">
        <f t="shared" si="4"/>
        <v/>
      </c>
      <c r="AD6" t="str">
        <f t="shared" si="4"/>
        <v/>
      </c>
      <c r="AE6" t="str">
        <f t="shared" si="4"/>
        <v/>
      </c>
      <c r="AF6" t="str">
        <f t="shared" si="4"/>
        <v/>
      </c>
      <c r="AG6" t="str">
        <f t="shared" si="4"/>
        <v/>
      </c>
      <c r="AH6" t="str">
        <f t="shared" si="4"/>
        <v/>
      </c>
      <c r="AI6" t="str">
        <f t="shared" si="4"/>
        <v/>
      </c>
      <c r="AJ6" t="str">
        <f t="shared" si="4"/>
        <v/>
      </c>
      <c r="AL6">
        <v>3</v>
      </c>
      <c r="AM6">
        <v>5</v>
      </c>
      <c r="AN6">
        <v>2</v>
      </c>
      <c r="AO6">
        <v>9</v>
      </c>
      <c r="AP6">
        <v>8</v>
      </c>
      <c r="AQ6">
        <v>7</v>
      </c>
      <c r="AR6">
        <v>6</v>
      </c>
      <c r="AS6">
        <v>5</v>
      </c>
      <c r="AT6">
        <v>4</v>
      </c>
      <c r="AU6">
        <v>2</v>
      </c>
      <c r="AV6">
        <v>1</v>
      </c>
      <c r="AW6">
        <v>0</v>
      </c>
      <c r="AX6">
        <v>13</v>
      </c>
      <c r="AY6">
        <v>12</v>
      </c>
      <c r="AZ6">
        <v>10</v>
      </c>
      <c r="BA6">
        <v>7</v>
      </c>
      <c r="BB6">
        <v>4</v>
      </c>
      <c r="BC6">
        <v>3</v>
      </c>
      <c r="BD6">
        <v>2</v>
      </c>
      <c r="BE6">
        <v>1</v>
      </c>
      <c r="BF6">
        <v>0</v>
      </c>
    </row>
    <row r="7" spans="2:58" x14ac:dyDescent="0.35">
      <c r="M7" s="1" t="str">
        <f>"Optimal "&amp;H4</f>
        <v>Optimal Coconuts</v>
      </c>
      <c r="O7" s="5" cm="1">
        <f t="array" ref="O7">INDEX($AA$3:$AJ$3,MOD(MATCH(MAX(IFERROR(_xlfn.TOCOL($AA$4:$AJ$13)*1,-1)),IFERROR(_xlfn.TOCOL($AA$4:$AJ$13)*1,-1),0)-1,10)+1)</f>
        <v>3</v>
      </c>
      <c r="Q7" s="6">
        <v>5</v>
      </c>
      <c r="R7" s="6">
        <f t="shared" si="2"/>
        <v>45</v>
      </c>
      <c r="S7" s="6">
        <f t="shared" si="0"/>
        <v>6</v>
      </c>
      <c r="T7" s="38" cm="1">
        <f t="array" ref="T7">IF($C$6=0,$G$13/$D$4,INDEX($AS$4:$AS$23,MOD($C$6-1,20)+1)/$D$4)</f>
        <v>1.2</v>
      </c>
      <c r="U7" s="6">
        <v>5</v>
      </c>
      <c r="V7" s="6">
        <f t="shared" si="3"/>
        <v>39</v>
      </c>
      <c r="W7" s="6">
        <f t="shared" si="1"/>
        <v>5</v>
      </c>
      <c r="X7" s="38" cm="1">
        <f t="array" ref="X7">IF($C$6=0,$G$14/$I$4,INDEX($BB$4:$BB$23,MOD($C$6-1,20)+1)/$I$4)</f>
        <v>1.6666666666666667</v>
      </c>
      <c r="Z7">
        <v>3</v>
      </c>
      <c r="AA7">
        <f t="shared" si="4"/>
        <v>32</v>
      </c>
      <c r="AB7" t="str">
        <f t="shared" si="4"/>
        <v/>
      </c>
      <c r="AC7" t="str">
        <f t="shared" si="4"/>
        <v/>
      </c>
      <c r="AD7" t="str">
        <f t="shared" si="4"/>
        <v/>
      </c>
      <c r="AE7" t="str">
        <f t="shared" si="4"/>
        <v/>
      </c>
      <c r="AF7" t="str">
        <f t="shared" si="4"/>
        <v/>
      </c>
      <c r="AG7" t="str">
        <f t="shared" si="4"/>
        <v/>
      </c>
      <c r="AH7" t="str">
        <f t="shared" si="4"/>
        <v/>
      </c>
      <c r="AI7" t="str">
        <f t="shared" si="4"/>
        <v/>
      </c>
      <c r="AJ7" t="str">
        <f t="shared" si="4"/>
        <v/>
      </c>
      <c r="AL7">
        <v>4</v>
      </c>
      <c r="AM7">
        <v>4</v>
      </c>
      <c r="AN7">
        <v>4</v>
      </c>
      <c r="AO7">
        <v>10</v>
      </c>
      <c r="AP7">
        <v>9</v>
      </c>
      <c r="AQ7">
        <v>8</v>
      </c>
      <c r="AR7">
        <v>6</v>
      </c>
      <c r="AS7">
        <v>5</v>
      </c>
      <c r="AT7">
        <v>4</v>
      </c>
      <c r="AU7">
        <v>2</v>
      </c>
      <c r="AV7">
        <v>1</v>
      </c>
      <c r="AW7">
        <v>0</v>
      </c>
      <c r="AX7">
        <v>9</v>
      </c>
      <c r="AY7">
        <v>8</v>
      </c>
      <c r="AZ7">
        <v>7</v>
      </c>
      <c r="BA7">
        <v>6</v>
      </c>
      <c r="BB7">
        <v>5</v>
      </c>
      <c r="BC7">
        <v>4</v>
      </c>
      <c r="BD7">
        <v>2</v>
      </c>
      <c r="BE7">
        <v>1</v>
      </c>
      <c r="BF7">
        <v>0</v>
      </c>
    </row>
    <row r="8" spans="2:58" x14ac:dyDescent="0.35">
      <c r="B8" s="24" t="s">
        <v>17</v>
      </c>
      <c r="Q8" s="6">
        <v>6</v>
      </c>
      <c r="R8" s="6">
        <f t="shared" si="2"/>
        <v>49</v>
      </c>
      <c r="S8" s="6">
        <f t="shared" si="0"/>
        <v>4</v>
      </c>
      <c r="T8" s="38" cm="1">
        <f t="array" ref="T8">IF($C$6=0,$H$13/$D$4,INDEX($AT$4:$AT$23,MOD($C$6-1,20)+1)/$D$4)</f>
        <v>0.8</v>
      </c>
      <c r="U8" s="6">
        <v>6</v>
      </c>
      <c r="V8" s="6">
        <f t="shared" si="3"/>
        <v>43</v>
      </c>
      <c r="W8" s="6">
        <f t="shared" si="1"/>
        <v>4</v>
      </c>
      <c r="X8" s="38" cm="1">
        <f t="array" ref="X8">IF($C$6=0,$H$14/$I$4,INDEX($BC$4:$BC$23,MOD($C$6-1,20)+1)/$I$4)</f>
        <v>1.3333333333333333</v>
      </c>
      <c r="Z8">
        <v>4</v>
      </c>
      <c r="AA8" t="str">
        <f t="shared" si="4"/>
        <v/>
      </c>
      <c r="AB8" t="str">
        <f t="shared" si="4"/>
        <v/>
      </c>
      <c r="AC8" t="str">
        <f t="shared" si="4"/>
        <v/>
      </c>
      <c r="AD8" t="str">
        <f t="shared" si="4"/>
        <v/>
      </c>
      <c r="AE8" t="str">
        <f t="shared" si="4"/>
        <v/>
      </c>
      <c r="AF8" t="str">
        <f t="shared" si="4"/>
        <v/>
      </c>
      <c r="AG8" t="str">
        <f t="shared" si="4"/>
        <v/>
      </c>
      <c r="AH8" t="str">
        <f t="shared" si="4"/>
        <v/>
      </c>
      <c r="AI8" t="str">
        <f t="shared" si="4"/>
        <v/>
      </c>
      <c r="AJ8" t="str">
        <f t="shared" si="4"/>
        <v/>
      </c>
      <c r="AL8">
        <v>5</v>
      </c>
      <c r="AM8">
        <v>3</v>
      </c>
      <c r="AN8">
        <v>1</v>
      </c>
      <c r="AO8">
        <v>9</v>
      </c>
      <c r="AP8">
        <v>8</v>
      </c>
      <c r="AQ8">
        <v>7</v>
      </c>
      <c r="AR8">
        <v>5</v>
      </c>
      <c r="AS8">
        <v>4</v>
      </c>
      <c r="AT8">
        <v>3</v>
      </c>
      <c r="AU8">
        <v>2</v>
      </c>
      <c r="AV8">
        <v>1</v>
      </c>
      <c r="AW8">
        <v>0</v>
      </c>
      <c r="AX8">
        <v>10</v>
      </c>
      <c r="AY8">
        <v>8</v>
      </c>
      <c r="AZ8">
        <v>6</v>
      </c>
      <c r="BA8">
        <v>5</v>
      </c>
      <c r="BB8">
        <v>4</v>
      </c>
      <c r="BC8">
        <v>3</v>
      </c>
      <c r="BD8">
        <v>2</v>
      </c>
      <c r="BE8">
        <v>1</v>
      </c>
      <c r="BF8">
        <v>0</v>
      </c>
    </row>
    <row r="9" spans="2:58" x14ac:dyDescent="0.35">
      <c r="B9" s="31" t="str">
        <f>C4&amp;" Cost"</f>
        <v>Fish Cost</v>
      </c>
      <c r="C9" s="6">
        <f>Input!C8</f>
        <v>3</v>
      </c>
      <c r="M9" s="1" t="s">
        <v>1</v>
      </c>
      <c r="O9" s="3">
        <f>O6*O2+O7*O3</f>
        <v>14</v>
      </c>
      <c r="Q9" s="6">
        <v>7</v>
      </c>
      <c r="R9" s="6">
        <f t="shared" si="2"/>
        <v>52</v>
      </c>
      <c r="S9" s="6">
        <f t="shared" si="0"/>
        <v>3</v>
      </c>
      <c r="T9" s="38" cm="1">
        <f t="array" ref="T9">IF($C$6=0,$I$13/$D$4,INDEX($AU$4:$AU$23,MOD($C$6-1,20)+1)/$D$4)</f>
        <v>0.6</v>
      </c>
      <c r="U9" s="6">
        <v>7</v>
      </c>
      <c r="V9" s="6">
        <f t="shared" si="3"/>
        <v>45</v>
      </c>
      <c r="W9" s="6">
        <f t="shared" si="1"/>
        <v>2</v>
      </c>
      <c r="X9" s="38" cm="1">
        <f t="array" ref="X9">IF($C$6=0,$I$14/$I$4,INDEX($BD$4:$BD$23,MOD($C$6-1,20)+1)/$I$4)</f>
        <v>0.66666666666666663</v>
      </c>
      <c r="Z9">
        <v>5</v>
      </c>
      <c r="AA9" t="str">
        <f t="shared" si="4"/>
        <v/>
      </c>
      <c r="AB9" t="str">
        <f t="shared" si="4"/>
        <v/>
      </c>
      <c r="AC9" t="str">
        <f t="shared" si="4"/>
        <v/>
      </c>
      <c r="AD9" t="str">
        <f t="shared" si="4"/>
        <v/>
      </c>
      <c r="AE9" t="str">
        <f t="shared" si="4"/>
        <v/>
      </c>
      <c r="AF9" t="str">
        <f t="shared" si="4"/>
        <v/>
      </c>
      <c r="AG9" t="str">
        <f t="shared" si="4"/>
        <v/>
      </c>
      <c r="AH9" t="str">
        <f t="shared" si="4"/>
        <v/>
      </c>
      <c r="AI9" t="str">
        <f t="shared" si="4"/>
        <v/>
      </c>
      <c r="AJ9" t="str">
        <f t="shared" si="4"/>
        <v/>
      </c>
      <c r="AL9">
        <v>6</v>
      </c>
      <c r="AM9">
        <v>2</v>
      </c>
      <c r="AN9">
        <v>4</v>
      </c>
      <c r="AO9">
        <v>12</v>
      </c>
      <c r="AP9">
        <v>11</v>
      </c>
      <c r="AQ9">
        <v>10</v>
      </c>
      <c r="AR9">
        <v>8</v>
      </c>
      <c r="AS9">
        <v>7</v>
      </c>
      <c r="AT9">
        <v>4</v>
      </c>
      <c r="AU9">
        <v>3</v>
      </c>
      <c r="AV9">
        <v>2</v>
      </c>
      <c r="AW9">
        <v>0</v>
      </c>
      <c r="AX9">
        <v>10</v>
      </c>
      <c r="AY9">
        <v>9</v>
      </c>
      <c r="AZ9">
        <v>8</v>
      </c>
      <c r="BA9">
        <v>7</v>
      </c>
      <c r="BB9">
        <v>6</v>
      </c>
      <c r="BC9">
        <v>5</v>
      </c>
      <c r="BD9">
        <v>2</v>
      </c>
      <c r="BE9">
        <v>1</v>
      </c>
      <c r="BF9">
        <v>0</v>
      </c>
    </row>
    <row r="10" spans="2:58" x14ac:dyDescent="0.35">
      <c r="B10" s="31" t="str">
        <f>H4&amp;" Cost"</f>
        <v>Coconuts Cost</v>
      </c>
      <c r="C10" s="6">
        <f>Input!C9</f>
        <v>1</v>
      </c>
      <c r="M10" s="1" t="s">
        <v>2</v>
      </c>
      <c r="O10">
        <f>_xlfn.XLOOKUP(O6,Q3:Q11,R3:R11)+_xlfn.XLOOKUP(O7,U3:U11,V3:V11)</f>
        <v>40</v>
      </c>
      <c r="Q10" s="6">
        <v>8</v>
      </c>
      <c r="R10" s="6">
        <f t="shared" si="2"/>
        <v>53</v>
      </c>
      <c r="S10" s="6">
        <f t="shared" si="0"/>
        <v>1</v>
      </c>
      <c r="T10" s="38" cm="1">
        <f t="array" ref="T10">IF($C$6=0,$J$13/$D$4,INDEX($AV$4:$AV$23,MOD($C$6-1,20)+1)/$D$4)</f>
        <v>0.2</v>
      </c>
      <c r="U10" s="6">
        <v>8</v>
      </c>
      <c r="V10" s="6">
        <f t="shared" si="3"/>
        <v>46</v>
      </c>
      <c r="W10" s="6">
        <f t="shared" si="1"/>
        <v>1</v>
      </c>
      <c r="X10" s="38" cm="1">
        <f t="array" ref="X10">IF($C$6=0,$J$14/$I$4,INDEX($BE$4:$BE$23,MOD($C$6-1,20)+1)/$I$4)</f>
        <v>0.33333333333333331</v>
      </c>
      <c r="Z10">
        <v>6</v>
      </c>
      <c r="AA10" t="str">
        <f t="shared" si="4"/>
        <v/>
      </c>
      <c r="AB10" t="str">
        <f t="shared" si="4"/>
        <v/>
      </c>
      <c r="AC10" t="str">
        <f t="shared" si="4"/>
        <v/>
      </c>
      <c r="AD10" t="str">
        <f t="shared" si="4"/>
        <v/>
      </c>
      <c r="AE10" t="str">
        <f t="shared" si="4"/>
        <v/>
      </c>
      <c r="AF10" t="str">
        <f t="shared" si="4"/>
        <v/>
      </c>
      <c r="AG10" t="str">
        <f t="shared" si="4"/>
        <v/>
      </c>
      <c r="AH10" t="str">
        <f t="shared" si="4"/>
        <v/>
      </c>
      <c r="AI10" t="str">
        <f t="shared" si="4"/>
        <v/>
      </c>
      <c r="AJ10" t="str">
        <f t="shared" si="4"/>
        <v/>
      </c>
      <c r="AL10">
        <v>7</v>
      </c>
      <c r="AM10">
        <v>3</v>
      </c>
      <c r="AN10">
        <v>3</v>
      </c>
      <c r="AO10">
        <v>10</v>
      </c>
      <c r="AP10">
        <v>9</v>
      </c>
      <c r="AQ10">
        <v>8</v>
      </c>
      <c r="AR10">
        <v>7</v>
      </c>
      <c r="AS10">
        <v>6</v>
      </c>
      <c r="AT10">
        <v>5</v>
      </c>
      <c r="AU10">
        <v>4</v>
      </c>
      <c r="AV10">
        <v>2</v>
      </c>
      <c r="AW10">
        <v>0</v>
      </c>
      <c r="AX10">
        <v>14</v>
      </c>
      <c r="AY10">
        <v>13</v>
      </c>
      <c r="AZ10">
        <v>11</v>
      </c>
      <c r="BA10">
        <v>9</v>
      </c>
      <c r="BB10">
        <v>7</v>
      </c>
      <c r="BC10">
        <v>5</v>
      </c>
      <c r="BD10">
        <v>3</v>
      </c>
      <c r="BE10">
        <v>2</v>
      </c>
      <c r="BF10">
        <v>0</v>
      </c>
    </row>
    <row r="11" spans="2:58" x14ac:dyDescent="0.35">
      <c r="Q11" s="6">
        <v>9</v>
      </c>
      <c r="R11" s="6">
        <f t="shared" si="2"/>
        <v>53</v>
      </c>
      <c r="S11" s="6">
        <f t="shared" si="0"/>
        <v>0</v>
      </c>
      <c r="T11" s="38" cm="1">
        <f t="array" ref="T11">IF($C$6=0,$K$13/$D$4,INDEX($AW$4:$AW$23,MOD($C$6-1,20)+1)/$D$4)</f>
        <v>0</v>
      </c>
      <c r="U11" s="6">
        <v>9</v>
      </c>
      <c r="V11" s="6">
        <f t="shared" si="3"/>
        <v>46</v>
      </c>
      <c r="W11" s="6">
        <f t="shared" si="1"/>
        <v>0</v>
      </c>
      <c r="X11" s="38" cm="1">
        <f t="array" ref="X11">IF($C$6=0,$K$14/$I$4,INDEX($BF$4:$BF$23,MOD($C$6-1,20)+1)/$I$4)</f>
        <v>0</v>
      </c>
      <c r="Z11">
        <v>7</v>
      </c>
      <c r="AA11" t="str">
        <f t="shared" si="4"/>
        <v/>
      </c>
      <c r="AB11" t="str">
        <f t="shared" si="4"/>
        <v/>
      </c>
      <c r="AC11" t="str">
        <f t="shared" si="4"/>
        <v/>
      </c>
      <c r="AD11" t="str">
        <f t="shared" si="4"/>
        <v/>
      </c>
      <c r="AE11" t="str">
        <f t="shared" si="4"/>
        <v/>
      </c>
      <c r="AF11" t="str">
        <f t="shared" si="4"/>
        <v/>
      </c>
      <c r="AG11" t="str">
        <f t="shared" si="4"/>
        <v/>
      </c>
      <c r="AH11" t="str">
        <f t="shared" si="4"/>
        <v/>
      </c>
      <c r="AI11" t="str">
        <f t="shared" si="4"/>
        <v/>
      </c>
      <c r="AJ11" t="str">
        <f t="shared" si="4"/>
        <v/>
      </c>
      <c r="AL11">
        <v>8</v>
      </c>
      <c r="AM11">
        <v>3</v>
      </c>
      <c r="AN11">
        <v>1</v>
      </c>
      <c r="AO11">
        <v>10</v>
      </c>
      <c r="AP11">
        <v>9</v>
      </c>
      <c r="AQ11">
        <v>8</v>
      </c>
      <c r="AR11">
        <v>7</v>
      </c>
      <c r="AS11">
        <v>6</v>
      </c>
      <c r="AT11">
        <v>5</v>
      </c>
      <c r="AU11">
        <v>3</v>
      </c>
      <c r="AV11">
        <v>2</v>
      </c>
      <c r="AW11">
        <v>0</v>
      </c>
      <c r="AX11">
        <v>11</v>
      </c>
      <c r="AY11">
        <v>9</v>
      </c>
      <c r="AZ11">
        <v>7</v>
      </c>
      <c r="BA11">
        <v>6</v>
      </c>
      <c r="BB11">
        <v>5</v>
      </c>
      <c r="BC11">
        <v>3</v>
      </c>
      <c r="BD11">
        <v>2</v>
      </c>
      <c r="BE11">
        <v>1</v>
      </c>
      <c r="BF11">
        <v>0</v>
      </c>
    </row>
    <row r="12" spans="2:58" x14ac:dyDescent="0.35">
      <c r="B12" s="29" t="s">
        <v>6</v>
      </c>
      <c r="C12" s="6">
        <v>1</v>
      </c>
      <c r="D12" s="6">
        <v>2</v>
      </c>
      <c r="E12" s="6">
        <v>3</v>
      </c>
      <c r="F12" s="6">
        <v>4</v>
      </c>
      <c r="G12" s="6">
        <v>5</v>
      </c>
      <c r="H12" s="6">
        <v>6</v>
      </c>
      <c r="I12" s="6">
        <v>7</v>
      </c>
      <c r="J12" s="6">
        <v>8</v>
      </c>
      <c r="K12" s="6">
        <v>9</v>
      </c>
      <c r="Z12">
        <v>8</v>
      </c>
      <c r="AA12" t="str">
        <f t="shared" si="4"/>
        <v/>
      </c>
      <c r="AB12" t="str">
        <f t="shared" si="4"/>
        <v/>
      </c>
      <c r="AC12" t="str">
        <f t="shared" si="4"/>
        <v/>
      </c>
      <c r="AD12" t="str">
        <f t="shared" si="4"/>
        <v/>
      </c>
      <c r="AE12" t="str">
        <f t="shared" si="4"/>
        <v/>
      </c>
      <c r="AF12" t="str">
        <f t="shared" si="4"/>
        <v/>
      </c>
      <c r="AG12" t="str">
        <f t="shared" si="4"/>
        <v/>
      </c>
      <c r="AH12" t="str">
        <f t="shared" si="4"/>
        <v/>
      </c>
      <c r="AI12" t="str">
        <f t="shared" si="4"/>
        <v/>
      </c>
      <c r="AJ12" t="str">
        <f t="shared" si="4"/>
        <v/>
      </c>
      <c r="AL12">
        <v>9</v>
      </c>
      <c r="AM12">
        <v>2</v>
      </c>
      <c r="AN12">
        <v>4</v>
      </c>
      <c r="AO12">
        <v>10</v>
      </c>
      <c r="AP12">
        <v>9</v>
      </c>
      <c r="AQ12">
        <v>8</v>
      </c>
      <c r="AR12">
        <v>5</v>
      </c>
      <c r="AS12">
        <v>4</v>
      </c>
      <c r="AT12">
        <v>3</v>
      </c>
      <c r="AU12">
        <v>2</v>
      </c>
      <c r="AV12">
        <v>1</v>
      </c>
      <c r="AW12">
        <v>0</v>
      </c>
      <c r="AX12">
        <v>12</v>
      </c>
      <c r="AY12">
        <v>11</v>
      </c>
      <c r="AZ12">
        <v>10</v>
      </c>
      <c r="BA12">
        <v>9</v>
      </c>
      <c r="BB12">
        <v>7</v>
      </c>
      <c r="BC12">
        <v>6</v>
      </c>
      <c r="BD12">
        <v>5</v>
      </c>
      <c r="BE12">
        <v>3</v>
      </c>
      <c r="BF12">
        <v>0</v>
      </c>
    </row>
    <row r="13" spans="2:58" x14ac:dyDescent="0.35">
      <c r="B13" s="29" t="str">
        <f>C4&amp;" MU"</f>
        <v>Fish MU</v>
      </c>
      <c r="C13" s="6">
        <f>Input!C12</f>
        <v>18</v>
      </c>
      <c r="D13" s="6">
        <f>Input!D12</f>
        <v>15</v>
      </c>
      <c r="E13" s="6">
        <f>Input!E12</f>
        <v>12</v>
      </c>
      <c r="F13" s="6">
        <f>Input!F12</f>
        <v>9</v>
      </c>
      <c r="G13" s="6">
        <f>Input!G12</f>
        <v>6</v>
      </c>
      <c r="H13" s="6">
        <f>Input!H12</f>
        <v>3</v>
      </c>
      <c r="I13" s="6">
        <f>Input!I12</f>
        <v>0</v>
      </c>
      <c r="J13" s="6">
        <f>Input!J12</f>
        <v>0</v>
      </c>
      <c r="K13" s="6">
        <f>Input!K12</f>
        <v>0</v>
      </c>
      <c r="Z13">
        <v>9</v>
      </c>
      <c r="AA13" t="str">
        <f t="shared" si="4"/>
        <v/>
      </c>
      <c r="AB13" t="str">
        <f t="shared" si="4"/>
        <v/>
      </c>
      <c r="AC13" t="str">
        <f t="shared" si="4"/>
        <v/>
      </c>
      <c r="AD13" t="str">
        <f t="shared" si="4"/>
        <v/>
      </c>
      <c r="AE13" t="str">
        <f t="shared" si="4"/>
        <v/>
      </c>
      <c r="AF13" t="str">
        <f t="shared" si="4"/>
        <v/>
      </c>
      <c r="AG13" t="str">
        <f t="shared" si="4"/>
        <v/>
      </c>
      <c r="AH13" t="str">
        <f t="shared" si="4"/>
        <v/>
      </c>
      <c r="AI13" t="str">
        <f t="shared" si="4"/>
        <v/>
      </c>
      <c r="AJ13" t="str">
        <f t="shared" si="4"/>
        <v/>
      </c>
      <c r="AL13">
        <v>10</v>
      </c>
      <c r="AM13">
        <v>1</v>
      </c>
      <c r="AN13">
        <v>3</v>
      </c>
      <c r="AO13">
        <v>12</v>
      </c>
      <c r="AP13">
        <v>9</v>
      </c>
      <c r="AQ13">
        <v>7</v>
      </c>
      <c r="AR13">
        <v>5</v>
      </c>
      <c r="AS13">
        <v>4</v>
      </c>
      <c r="AT13">
        <v>3</v>
      </c>
      <c r="AU13">
        <v>2</v>
      </c>
      <c r="AV13">
        <v>1</v>
      </c>
      <c r="AW13">
        <v>0</v>
      </c>
      <c r="AX13">
        <v>13</v>
      </c>
      <c r="AY13">
        <v>11</v>
      </c>
      <c r="AZ13">
        <v>9</v>
      </c>
      <c r="BA13">
        <v>8</v>
      </c>
      <c r="BB13">
        <v>7</v>
      </c>
      <c r="BC13">
        <v>6</v>
      </c>
      <c r="BD13">
        <v>2</v>
      </c>
      <c r="BE13">
        <v>1</v>
      </c>
      <c r="BF13">
        <v>0</v>
      </c>
    </row>
    <row r="14" spans="2:58" x14ac:dyDescent="0.35">
      <c r="B14" s="29" t="str">
        <f>H4&amp;" MU"</f>
        <v>Coconuts MU</v>
      </c>
      <c r="C14" s="6">
        <f>Input!C13</f>
        <v>10</v>
      </c>
      <c r="D14" s="6">
        <f>Input!D13</f>
        <v>8</v>
      </c>
      <c r="E14" s="6">
        <f>Input!E13</f>
        <v>6</v>
      </c>
      <c r="F14" s="6">
        <f>Input!F13</f>
        <v>5</v>
      </c>
      <c r="G14" s="6">
        <f>Input!G13</f>
        <v>4</v>
      </c>
      <c r="H14" s="6">
        <f>Input!H13</f>
        <v>3</v>
      </c>
      <c r="I14" s="6">
        <f>Input!I13</f>
        <v>2</v>
      </c>
      <c r="J14" s="6">
        <f>Input!J13</f>
        <v>1</v>
      </c>
      <c r="K14" s="6">
        <f>Input!K13</f>
        <v>0</v>
      </c>
      <c r="AL14">
        <v>11</v>
      </c>
      <c r="AM14">
        <v>3</v>
      </c>
      <c r="AN14">
        <v>1</v>
      </c>
      <c r="AO14">
        <v>11</v>
      </c>
      <c r="AP14">
        <v>10</v>
      </c>
      <c r="AQ14">
        <v>9</v>
      </c>
      <c r="AR14">
        <v>8</v>
      </c>
      <c r="AS14">
        <v>7</v>
      </c>
      <c r="AT14">
        <v>5</v>
      </c>
      <c r="AU14">
        <v>4</v>
      </c>
      <c r="AV14">
        <v>3</v>
      </c>
      <c r="AW14">
        <v>0</v>
      </c>
      <c r="AX14">
        <v>9</v>
      </c>
      <c r="AY14">
        <v>8</v>
      </c>
      <c r="AZ14">
        <v>6</v>
      </c>
      <c r="BA14">
        <v>5</v>
      </c>
      <c r="BB14">
        <v>4</v>
      </c>
      <c r="BC14">
        <v>3</v>
      </c>
      <c r="BD14">
        <v>2</v>
      </c>
      <c r="BE14">
        <v>1</v>
      </c>
      <c r="BF14">
        <v>0</v>
      </c>
    </row>
    <row r="15" spans="2:58" x14ac:dyDescent="0.35">
      <c r="AL15">
        <v>12</v>
      </c>
      <c r="AM15">
        <v>5</v>
      </c>
      <c r="AN15">
        <v>1</v>
      </c>
      <c r="AO15">
        <v>12</v>
      </c>
      <c r="AP15">
        <v>11</v>
      </c>
      <c r="AQ15">
        <v>10</v>
      </c>
      <c r="AR15">
        <v>9</v>
      </c>
      <c r="AS15">
        <v>8</v>
      </c>
      <c r="AT15">
        <v>7</v>
      </c>
      <c r="AU15">
        <v>3</v>
      </c>
      <c r="AV15">
        <v>2</v>
      </c>
      <c r="AW15">
        <v>0</v>
      </c>
      <c r="AX15">
        <v>13</v>
      </c>
      <c r="AY15">
        <v>11</v>
      </c>
      <c r="AZ15">
        <v>9</v>
      </c>
      <c r="BA15">
        <v>8</v>
      </c>
      <c r="BB15">
        <v>4</v>
      </c>
      <c r="BC15">
        <v>3</v>
      </c>
      <c r="BD15">
        <v>2</v>
      </c>
      <c r="BE15">
        <v>1</v>
      </c>
      <c r="BF15">
        <v>0</v>
      </c>
    </row>
    <row r="16" spans="2:58" x14ac:dyDescent="0.35">
      <c r="AL16">
        <v>13</v>
      </c>
      <c r="AM16">
        <v>3</v>
      </c>
      <c r="AN16">
        <v>5</v>
      </c>
      <c r="AO16">
        <v>10</v>
      </c>
      <c r="AP16">
        <v>9</v>
      </c>
      <c r="AQ16">
        <v>8</v>
      </c>
      <c r="AR16">
        <v>6</v>
      </c>
      <c r="AS16">
        <v>5</v>
      </c>
      <c r="AT16">
        <v>4</v>
      </c>
      <c r="AU16">
        <v>3</v>
      </c>
      <c r="AV16">
        <v>2</v>
      </c>
      <c r="AW16">
        <v>0</v>
      </c>
      <c r="AX16">
        <v>10</v>
      </c>
      <c r="AY16">
        <v>9</v>
      </c>
      <c r="AZ16">
        <v>8</v>
      </c>
      <c r="BA16">
        <v>7</v>
      </c>
      <c r="BB16">
        <v>6</v>
      </c>
      <c r="BC16">
        <v>5</v>
      </c>
      <c r="BD16">
        <v>4</v>
      </c>
      <c r="BE16">
        <v>1</v>
      </c>
      <c r="BF16">
        <v>0</v>
      </c>
    </row>
    <row r="17" spans="2:58" x14ac:dyDescent="0.35">
      <c r="AL17">
        <v>14</v>
      </c>
      <c r="AM17">
        <v>1</v>
      </c>
      <c r="AN17">
        <v>2</v>
      </c>
      <c r="AO17">
        <v>9</v>
      </c>
      <c r="AP17">
        <v>8</v>
      </c>
      <c r="AQ17">
        <v>7</v>
      </c>
      <c r="AR17">
        <v>6</v>
      </c>
      <c r="AS17">
        <v>5</v>
      </c>
      <c r="AT17">
        <v>4</v>
      </c>
      <c r="AU17">
        <v>3</v>
      </c>
      <c r="AV17">
        <v>1</v>
      </c>
      <c r="AW17">
        <v>0</v>
      </c>
      <c r="AX17">
        <v>11</v>
      </c>
      <c r="AY17">
        <v>10</v>
      </c>
      <c r="AZ17">
        <v>9</v>
      </c>
      <c r="BA17">
        <v>7</v>
      </c>
      <c r="BB17">
        <v>6</v>
      </c>
      <c r="BC17">
        <v>5</v>
      </c>
      <c r="BD17">
        <v>4</v>
      </c>
      <c r="BE17">
        <v>3</v>
      </c>
      <c r="BF17">
        <v>0</v>
      </c>
    </row>
    <row r="18" spans="2:58" x14ac:dyDescent="0.35">
      <c r="B18" s="50" t="s">
        <v>25</v>
      </c>
      <c r="AL18">
        <v>15</v>
      </c>
      <c r="AM18">
        <v>2</v>
      </c>
      <c r="AN18">
        <v>4</v>
      </c>
      <c r="AO18">
        <v>14</v>
      </c>
      <c r="AP18">
        <v>12</v>
      </c>
      <c r="AQ18">
        <v>10</v>
      </c>
      <c r="AR18">
        <v>9</v>
      </c>
      <c r="AS18">
        <v>7</v>
      </c>
      <c r="AT18">
        <v>4</v>
      </c>
      <c r="AU18">
        <v>3</v>
      </c>
      <c r="AV18">
        <v>1</v>
      </c>
      <c r="AW18">
        <v>0</v>
      </c>
      <c r="AX18">
        <v>12</v>
      </c>
      <c r="AY18">
        <v>11</v>
      </c>
      <c r="AZ18">
        <v>9</v>
      </c>
      <c r="BA18">
        <v>8</v>
      </c>
      <c r="BB18">
        <v>7</v>
      </c>
      <c r="BC18">
        <v>4</v>
      </c>
      <c r="BD18">
        <v>3</v>
      </c>
      <c r="BE18">
        <v>2</v>
      </c>
      <c r="BF18">
        <v>0</v>
      </c>
    </row>
    <row r="19" spans="2:58" x14ac:dyDescent="0.35">
      <c r="AL19">
        <v>16</v>
      </c>
      <c r="AM19">
        <v>4</v>
      </c>
      <c r="AN19">
        <v>1</v>
      </c>
      <c r="AO19">
        <v>9</v>
      </c>
      <c r="AP19">
        <v>8</v>
      </c>
      <c r="AQ19">
        <v>7</v>
      </c>
      <c r="AR19">
        <v>6</v>
      </c>
      <c r="AS19">
        <v>4</v>
      </c>
      <c r="AT19">
        <v>3</v>
      </c>
      <c r="AU19">
        <v>2</v>
      </c>
      <c r="AV19">
        <v>1</v>
      </c>
      <c r="AW19">
        <v>0</v>
      </c>
      <c r="AX19">
        <v>11</v>
      </c>
      <c r="AY19">
        <v>10</v>
      </c>
      <c r="AZ19">
        <v>8</v>
      </c>
      <c r="BA19">
        <v>7</v>
      </c>
      <c r="BB19">
        <v>6</v>
      </c>
      <c r="BC19">
        <v>5</v>
      </c>
      <c r="BD19">
        <v>4</v>
      </c>
      <c r="BE19">
        <v>3</v>
      </c>
      <c r="BF19">
        <v>0</v>
      </c>
    </row>
    <row r="20" spans="2:58" x14ac:dyDescent="0.35">
      <c r="AL20">
        <v>17</v>
      </c>
      <c r="AM20">
        <v>5</v>
      </c>
      <c r="AN20">
        <v>4</v>
      </c>
      <c r="AO20">
        <v>10</v>
      </c>
      <c r="AP20">
        <v>9</v>
      </c>
      <c r="AQ20">
        <v>7</v>
      </c>
      <c r="AR20">
        <v>6</v>
      </c>
      <c r="AS20">
        <v>4</v>
      </c>
      <c r="AT20">
        <v>3</v>
      </c>
      <c r="AU20">
        <v>2</v>
      </c>
      <c r="AV20">
        <v>1</v>
      </c>
      <c r="AW20">
        <v>0</v>
      </c>
      <c r="AX20">
        <v>11</v>
      </c>
      <c r="AY20">
        <v>10</v>
      </c>
      <c r="AZ20">
        <v>9</v>
      </c>
      <c r="BA20">
        <v>8</v>
      </c>
      <c r="BB20">
        <v>7</v>
      </c>
      <c r="BC20">
        <v>6</v>
      </c>
      <c r="BD20">
        <v>5</v>
      </c>
      <c r="BE20">
        <v>2</v>
      </c>
      <c r="BF20">
        <v>0</v>
      </c>
    </row>
    <row r="21" spans="2:58" x14ac:dyDescent="0.35">
      <c r="AL21">
        <v>18</v>
      </c>
      <c r="AM21">
        <v>1</v>
      </c>
      <c r="AN21">
        <v>5</v>
      </c>
      <c r="AO21">
        <v>11</v>
      </c>
      <c r="AP21">
        <v>8</v>
      </c>
      <c r="AQ21">
        <v>6</v>
      </c>
      <c r="AR21">
        <v>5</v>
      </c>
      <c r="AS21">
        <v>4</v>
      </c>
      <c r="AT21">
        <v>3</v>
      </c>
      <c r="AU21">
        <v>2</v>
      </c>
      <c r="AV21">
        <v>1</v>
      </c>
      <c r="AW21">
        <v>0</v>
      </c>
      <c r="AX21">
        <v>8</v>
      </c>
      <c r="AY21">
        <v>7</v>
      </c>
      <c r="AZ21">
        <v>6</v>
      </c>
      <c r="BA21">
        <v>5</v>
      </c>
      <c r="BB21">
        <v>4</v>
      </c>
      <c r="BC21">
        <v>3</v>
      </c>
      <c r="BD21">
        <v>2</v>
      </c>
      <c r="BE21">
        <v>1</v>
      </c>
      <c r="BF21">
        <v>0</v>
      </c>
    </row>
    <row r="22" spans="2:58" x14ac:dyDescent="0.35">
      <c r="AL22">
        <v>19</v>
      </c>
      <c r="AM22">
        <v>5</v>
      </c>
      <c r="AN22">
        <v>2</v>
      </c>
      <c r="AO22">
        <v>11</v>
      </c>
      <c r="AP22">
        <v>10</v>
      </c>
      <c r="AQ22">
        <v>9</v>
      </c>
      <c r="AR22">
        <v>8</v>
      </c>
      <c r="AS22">
        <v>7</v>
      </c>
      <c r="AT22">
        <v>6</v>
      </c>
      <c r="AU22">
        <v>3</v>
      </c>
      <c r="AV22">
        <v>2</v>
      </c>
      <c r="AW22">
        <v>0</v>
      </c>
      <c r="AX22">
        <v>12</v>
      </c>
      <c r="AY22">
        <v>11</v>
      </c>
      <c r="AZ22">
        <v>10</v>
      </c>
      <c r="BA22">
        <v>7</v>
      </c>
      <c r="BB22">
        <v>6</v>
      </c>
      <c r="BC22">
        <v>5</v>
      </c>
      <c r="BD22">
        <v>4</v>
      </c>
      <c r="BE22">
        <v>1</v>
      </c>
      <c r="BF22">
        <v>0</v>
      </c>
    </row>
    <row r="23" spans="2:58" x14ac:dyDescent="0.35">
      <c r="AL23">
        <v>20</v>
      </c>
      <c r="AM23">
        <v>5</v>
      </c>
      <c r="AN23">
        <v>1</v>
      </c>
      <c r="AO23">
        <v>9</v>
      </c>
      <c r="AP23">
        <v>7</v>
      </c>
      <c r="AQ23">
        <v>6</v>
      </c>
      <c r="AR23">
        <v>5</v>
      </c>
      <c r="AS23">
        <v>4</v>
      </c>
      <c r="AT23">
        <v>3</v>
      </c>
      <c r="AU23">
        <v>2</v>
      </c>
      <c r="AV23">
        <v>1</v>
      </c>
      <c r="AW23">
        <v>0</v>
      </c>
      <c r="AX23">
        <v>13</v>
      </c>
      <c r="AY23">
        <v>11</v>
      </c>
      <c r="AZ23">
        <v>9</v>
      </c>
      <c r="BA23">
        <v>7</v>
      </c>
      <c r="BB23">
        <v>6</v>
      </c>
      <c r="BC23">
        <v>4</v>
      </c>
      <c r="BD23">
        <v>3</v>
      </c>
      <c r="BE23">
        <v>2</v>
      </c>
      <c r="BF23">
        <v>0</v>
      </c>
    </row>
    <row r="24" spans="2:58" x14ac:dyDescent="0.35"/>
    <row r="25" spans="2:58" hidden="1" x14ac:dyDescent="0.35">
      <c r="T25" s="3"/>
    </row>
    <row r="26" spans="2:58" hidden="1" x14ac:dyDescent="0.35">
      <c r="T26" s="3"/>
    </row>
    <row r="27" spans="2:58" hidden="1" x14ac:dyDescent="0.35">
      <c r="T27" s="3"/>
    </row>
    <row r="28" spans="2:58" hidden="1" x14ac:dyDescent="0.35">
      <c r="T28" s="3"/>
    </row>
    <row r="29" spans="2:58" hidden="1" x14ac:dyDescent="0.35">
      <c r="T29" s="3"/>
    </row>
    <row r="30" spans="2:58" hidden="1" x14ac:dyDescent="0.35">
      <c r="T30" s="3"/>
    </row>
    <row r="31" spans="2:58" hidden="1" x14ac:dyDescent="0.35">
      <c r="T31" s="3"/>
    </row>
    <row r="32" spans="2:58" hidden="1" x14ac:dyDescent="0.35">
      <c r="T32" s="3"/>
    </row>
    <row r="33" spans="20:20" hidden="1" x14ac:dyDescent="0.35">
      <c r="T33" s="3"/>
    </row>
  </sheetData>
  <sheetProtection algorithmName="SHA-512" hashValue="Frnxg1zFdXZ00v8pdYFUv+IusBKOUn9xIISsGseuaJrL/tjLYBTiBRsl9LoZLL7nMCist4ttQsbA+WbzkdX7cA==" saltValue="SlH5ROa78tldMpngaUhWOw==" spinCount="100000" sheet="1" objects="1" scenarios="1" selectLockedCells="1"/>
  <dataValidations count="1">
    <dataValidation type="list" allowBlank="1" showInputMessage="1" showErrorMessage="1" sqref="C6" xr:uid="{086D2C65-D483-444A-9AC8-7BC300ABA277}">
      <formula1>$AL$3:$AL$23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Input</vt:lpstr>
      <vt:lpstr>Quiz</vt:lpstr>
      <vt:lpstr>Printout</vt:lpstr>
      <vt:lpstr>Calculations</vt:lpstr>
      <vt:lpstr>Printout!Print_Area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 Roberts</dc:creator>
  <cp:lastModifiedBy>Seth Roberts</cp:lastModifiedBy>
  <cp:lastPrinted>2026-06-11T23:17:05Z</cp:lastPrinted>
  <dcterms:created xsi:type="dcterms:W3CDTF">2026-06-03T20:52:28Z</dcterms:created>
  <dcterms:modified xsi:type="dcterms:W3CDTF">2026-06-11T23:17:22Z</dcterms:modified>
</cp:coreProperties>
</file>